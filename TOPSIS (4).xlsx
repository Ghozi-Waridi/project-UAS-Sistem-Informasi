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187C330ED9FEF34/Dokumen/"/>
    </mc:Choice>
  </mc:AlternateContent>
  <xr:revisionPtr revIDLastSave="0" documentId="8_{AE13B67F-25AC-4727-91F6-5D5BDB53ECAA}" xr6:coauthVersionLast="47" xr6:coauthVersionMax="47" xr10:uidLastSave="{00000000-0000-0000-0000-000000000000}"/>
  <bookViews>
    <workbookView xWindow="-96" yWindow="0" windowWidth="15324" windowHeight="12336" firstSheet="3" activeTab="3" xr2:uid="{D3AFD885-9729-4065-94CC-28112E0A1F4C}"/>
  </bookViews>
  <sheets>
    <sheet name="DM1" sheetId="3" r:id="rId1"/>
    <sheet name="DM2" sheetId="6" r:id="rId2"/>
    <sheet name="DM3" sheetId="5" r:id="rId3"/>
    <sheet name="BORDA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7" l="1"/>
  <c r="F6" i="7"/>
  <c r="P18" i="5"/>
  <c r="O28" i="5"/>
  <c r="O25" i="5"/>
  <c r="J28" i="5"/>
  <c r="J25" i="5"/>
  <c r="I25" i="5"/>
  <c r="H25" i="5"/>
  <c r="H44" i="5"/>
  <c r="H47" i="3"/>
  <c r="H27" i="3"/>
  <c r="H26" i="5"/>
  <c r="O9" i="3"/>
  <c r="O10" i="3"/>
  <c r="O11" i="3"/>
  <c r="O12" i="3"/>
  <c r="O14" i="3"/>
  <c r="O15" i="3"/>
  <c r="O16" i="3"/>
  <c r="O17" i="3"/>
  <c r="O18" i="3"/>
  <c r="O19" i="3"/>
  <c r="P9" i="3"/>
  <c r="P10" i="3"/>
  <c r="P11" i="3"/>
  <c r="P12" i="3"/>
  <c r="P14" i="3"/>
  <c r="P15" i="3"/>
  <c r="P16" i="3"/>
  <c r="P17" i="3"/>
  <c r="P18" i="3"/>
  <c r="P19" i="3"/>
  <c r="I25" i="3"/>
  <c r="L28" i="3"/>
  <c r="L48" i="3"/>
  <c r="K25" i="3"/>
  <c r="L25" i="3"/>
  <c r="L38" i="6"/>
  <c r="L57" i="6" s="1"/>
  <c r="K38" i="6"/>
  <c r="K57" i="6" s="1"/>
  <c r="J38" i="6"/>
  <c r="J57" i="6" s="1"/>
  <c r="I38" i="6"/>
  <c r="I57" i="6" s="1"/>
  <c r="H38" i="6"/>
  <c r="H57" i="6" s="1"/>
  <c r="L37" i="6"/>
  <c r="L56" i="6" s="1"/>
  <c r="K37" i="6"/>
  <c r="K56" i="6" s="1"/>
  <c r="J37" i="6"/>
  <c r="J56" i="6" s="1"/>
  <c r="I37" i="6"/>
  <c r="I56" i="6" s="1"/>
  <c r="H37" i="6"/>
  <c r="H56" i="6" s="1"/>
  <c r="L36" i="6"/>
  <c r="L55" i="6" s="1"/>
  <c r="K36" i="6"/>
  <c r="K55" i="6" s="1"/>
  <c r="J36" i="6"/>
  <c r="J55" i="6" s="1"/>
  <c r="I36" i="6"/>
  <c r="I55" i="6" s="1"/>
  <c r="H36" i="6"/>
  <c r="H55" i="6" s="1"/>
  <c r="L35" i="6"/>
  <c r="L54" i="6" s="1"/>
  <c r="K35" i="6"/>
  <c r="K54" i="6" s="1"/>
  <c r="J35" i="6"/>
  <c r="J54" i="6" s="1"/>
  <c r="I35" i="6"/>
  <c r="I54" i="6" s="1"/>
  <c r="H35" i="6"/>
  <c r="H54" i="6" s="1"/>
  <c r="L34" i="6"/>
  <c r="L53" i="6" s="1"/>
  <c r="K34" i="6"/>
  <c r="K53" i="6" s="1"/>
  <c r="J34" i="6"/>
  <c r="J53" i="6" s="1"/>
  <c r="I34" i="6"/>
  <c r="I53" i="6" s="1"/>
  <c r="H34" i="6"/>
  <c r="H53" i="6" s="1"/>
  <c r="L33" i="6"/>
  <c r="L52" i="6" s="1"/>
  <c r="K33" i="6"/>
  <c r="K52" i="6" s="1"/>
  <c r="J33" i="6"/>
  <c r="J52" i="6" s="1"/>
  <c r="I33" i="6"/>
  <c r="I52" i="6" s="1"/>
  <c r="H33" i="6"/>
  <c r="H52" i="6" s="1"/>
  <c r="L32" i="6"/>
  <c r="L51" i="6" s="1"/>
  <c r="K32" i="6"/>
  <c r="K51" i="6" s="1"/>
  <c r="J32" i="6"/>
  <c r="J51" i="6" s="1"/>
  <c r="I32" i="6"/>
  <c r="I51" i="6" s="1"/>
  <c r="H32" i="6"/>
  <c r="H51" i="6" s="1"/>
  <c r="L31" i="6"/>
  <c r="L50" i="6" s="1"/>
  <c r="K31" i="6"/>
  <c r="K50" i="6" s="1"/>
  <c r="J31" i="6"/>
  <c r="J50" i="6" s="1"/>
  <c r="I31" i="6"/>
  <c r="I50" i="6" s="1"/>
  <c r="H31" i="6"/>
  <c r="H50" i="6" s="1"/>
  <c r="L30" i="6"/>
  <c r="L49" i="6" s="1"/>
  <c r="K30" i="6"/>
  <c r="K49" i="6" s="1"/>
  <c r="J30" i="6"/>
  <c r="J49" i="6" s="1"/>
  <c r="I30" i="6"/>
  <c r="I49" i="6" s="1"/>
  <c r="H30" i="6"/>
  <c r="H49" i="6" s="1"/>
  <c r="L29" i="6"/>
  <c r="L48" i="6" s="1"/>
  <c r="K29" i="6"/>
  <c r="K48" i="6" s="1"/>
  <c r="J29" i="6"/>
  <c r="J48" i="6" s="1"/>
  <c r="I29" i="6"/>
  <c r="I48" i="6" s="1"/>
  <c r="H29" i="6"/>
  <c r="H48" i="6" s="1"/>
  <c r="L28" i="6"/>
  <c r="L47" i="6" s="1"/>
  <c r="K28" i="6"/>
  <c r="K47" i="6" s="1"/>
  <c r="J28" i="6"/>
  <c r="J47" i="6" s="1"/>
  <c r="I28" i="6"/>
  <c r="I47" i="6" s="1"/>
  <c r="H28" i="6"/>
  <c r="H47" i="6" s="1"/>
  <c r="L27" i="6"/>
  <c r="L46" i="6" s="1"/>
  <c r="K27" i="6"/>
  <c r="K46" i="6" s="1"/>
  <c r="J27" i="6"/>
  <c r="J46" i="6" s="1"/>
  <c r="I27" i="6"/>
  <c r="I46" i="6" s="1"/>
  <c r="H27" i="6"/>
  <c r="H46" i="6" s="1"/>
  <c r="L26" i="6"/>
  <c r="L45" i="6" s="1"/>
  <c r="K26" i="6"/>
  <c r="K45" i="6" s="1"/>
  <c r="J26" i="6"/>
  <c r="J45" i="6" s="1"/>
  <c r="I26" i="6"/>
  <c r="I45" i="6" s="1"/>
  <c r="H26" i="6"/>
  <c r="H45" i="6" s="1"/>
  <c r="L25" i="6"/>
  <c r="K25" i="6"/>
  <c r="J25" i="6"/>
  <c r="I25" i="6"/>
  <c r="H25" i="6"/>
  <c r="L38" i="5"/>
  <c r="L57" i="5" s="1"/>
  <c r="K38" i="5"/>
  <c r="K57" i="5" s="1"/>
  <c r="J38" i="5"/>
  <c r="J57" i="5" s="1"/>
  <c r="I38" i="5"/>
  <c r="I57" i="5" s="1"/>
  <c r="H38" i="5"/>
  <c r="H57" i="5" s="1"/>
  <c r="L37" i="5"/>
  <c r="L56" i="5" s="1"/>
  <c r="K37" i="5"/>
  <c r="K56" i="5" s="1"/>
  <c r="J37" i="5"/>
  <c r="J56" i="5" s="1"/>
  <c r="I37" i="5"/>
  <c r="I56" i="5" s="1"/>
  <c r="H37" i="5"/>
  <c r="H56" i="5" s="1"/>
  <c r="L36" i="5"/>
  <c r="L55" i="5" s="1"/>
  <c r="K36" i="5"/>
  <c r="K55" i="5" s="1"/>
  <c r="J36" i="5"/>
  <c r="J55" i="5" s="1"/>
  <c r="I36" i="5"/>
  <c r="I55" i="5" s="1"/>
  <c r="H36" i="5"/>
  <c r="H55" i="5" s="1"/>
  <c r="L35" i="5"/>
  <c r="L54" i="5" s="1"/>
  <c r="K35" i="5"/>
  <c r="K54" i="5" s="1"/>
  <c r="J35" i="5"/>
  <c r="J54" i="5" s="1"/>
  <c r="I35" i="5"/>
  <c r="I54" i="5" s="1"/>
  <c r="H35" i="5"/>
  <c r="H54" i="5" s="1"/>
  <c r="L34" i="5"/>
  <c r="L53" i="5" s="1"/>
  <c r="K34" i="5"/>
  <c r="K53" i="5" s="1"/>
  <c r="J34" i="5"/>
  <c r="J53" i="5" s="1"/>
  <c r="I34" i="5"/>
  <c r="I53" i="5" s="1"/>
  <c r="H34" i="5"/>
  <c r="H53" i="5" s="1"/>
  <c r="L33" i="5"/>
  <c r="L52" i="5" s="1"/>
  <c r="K33" i="5"/>
  <c r="K52" i="5" s="1"/>
  <c r="J33" i="5"/>
  <c r="J52" i="5" s="1"/>
  <c r="I33" i="5"/>
  <c r="I52" i="5" s="1"/>
  <c r="H33" i="5"/>
  <c r="H52" i="5" s="1"/>
  <c r="L32" i="5"/>
  <c r="L51" i="5" s="1"/>
  <c r="K32" i="5"/>
  <c r="K51" i="5" s="1"/>
  <c r="J32" i="5"/>
  <c r="J51" i="5" s="1"/>
  <c r="I32" i="5"/>
  <c r="I51" i="5" s="1"/>
  <c r="H32" i="5"/>
  <c r="H51" i="5" s="1"/>
  <c r="L31" i="5"/>
  <c r="L50" i="5" s="1"/>
  <c r="K31" i="5"/>
  <c r="K50" i="5" s="1"/>
  <c r="J31" i="5"/>
  <c r="J50" i="5" s="1"/>
  <c r="I31" i="5"/>
  <c r="I50" i="5" s="1"/>
  <c r="H31" i="5"/>
  <c r="H50" i="5" s="1"/>
  <c r="L30" i="5"/>
  <c r="L49" i="5" s="1"/>
  <c r="K30" i="5"/>
  <c r="K49" i="5" s="1"/>
  <c r="J30" i="5"/>
  <c r="J49" i="5" s="1"/>
  <c r="I30" i="5"/>
  <c r="I49" i="5" s="1"/>
  <c r="H30" i="5"/>
  <c r="H49" i="5" s="1"/>
  <c r="L29" i="5"/>
  <c r="L48" i="5" s="1"/>
  <c r="K29" i="5"/>
  <c r="K48" i="5" s="1"/>
  <c r="J29" i="5"/>
  <c r="J48" i="5" s="1"/>
  <c r="I29" i="5"/>
  <c r="I48" i="5" s="1"/>
  <c r="H29" i="5"/>
  <c r="H48" i="5" s="1"/>
  <c r="L28" i="5"/>
  <c r="L47" i="5" s="1"/>
  <c r="K28" i="5"/>
  <c r="K47" i="5" s="1"/>
  <c r="J47" i="5"/>
  <c r="I28" i="5"/>
  <c r="I47" i="5" s="1"/>
  <c r="H28" i="5"/>
  <c r="H47" i="5" s="1"/>
  <c r="L27" i="5"/>
  <c r="L46" i="5" s="1"/>
  <c r="K27" i="5"/>
  <c r="K46" i="5" s="1"/>
  <c r="J27" i="5"/>
  <c r="J46" i="5" s="1"/>
  <c r="I27" i="5"/>
  <c r="I46" i="5" s="1"/>
  <c r="H27" i="5"/>
  <c r="H46" i="5" s="1"/>
  <c r="L26" i="5"/>
  <c r="L45" i="5" s="1"/>
  <c r="K26" i="5"/>
  <c r="K45" i="5" s="1"/>
  <c r="J26" i="5"/>
  <c r="J45" i="5" s="1"/>
  <c r="I26" i="5"/>
  <c r="I45" i="5" s="1"/>
  <c r="H45" i="5"/>
  <c r="L25" i="5"/>
  <c r="K25" i="5"/>
  <c r="J25" i="3"/>
  <c r="I26" i="3"/>
  <c r="H28" i="3"/>
  <c r="H25" i="3"/>
  <c r="I47" i="3"/>
  <c r="H46" i="3"/>
  <c r="H31" i="3"/>
  <c r="H44" i="3"/>
  <c r="I44" i="3"/>
  <c r="J44" i="3"/>
  <c r="K44" i="3"/>
  <c r="L44" i="3"/>
  <c r="I45" i="3"/>
  <c r="I46" i="3"/>
  <c r="J46" i="3"/>
  <c r="K46" i="3"/>
  <c r="L46" i="3"/>
  <c r="J47" i="3"/>
  <c r="K47" i="3"/>
  <c r="L47" i="3"/>
  <c r="I48" i="3"/>
  <c r="J48" i="3"/>
  <c r="K48" i="3"/>
  <c r="I49" i="3"/>
  <c r="J49" i="3"/>
  <c r="K49" i="3"/>
  <c r="L49" i="3"/>
  <c r="I50" i="3"/>
  <c r="J50" i="3"/>
  <c r="K50" i="3"/>
  <c r="L50" i="3"/>
  <c r="I51" i="3"/>
  <c r="J51" i="3"/>
  <c r="K51" i="3"/>
  <c r="L51" i="3"/>
  <c r="I52" i="3"/>
  <c r="J52" i="3"/>
  <c r="K52" i="3"/>
  <c r="L52" i="3"/>
  <c r="I54" i="3"/>
  <c r="J54" i="3"/>
  <c r="K54" i="3"/>
  <c r="L54" i="3"/>
  <c r="I55" i="3"/>
  <c r="J55" i="3"/>
  <c r="K55" i="3"/>
  <c r="L55" i="3"/>
  <c r="I56" i="3"/>
  <c r="J56" i="3"/>
  <c r="K56" i="3"/>
  <c r="L56" i="3"/>
  <c r="H48" i="3"/>
  <c r="H49" i="3"/>
  <c r="H50" i="3"/>
  <c r="H51" i="3"/>
  <c r="H52" i="3"/>
  <c r="H54" i="3"/>
  <c r="H55" i="3"/>
  <c r="H56" i="3"/>
  <c r="J26" i="3"/>
  <c r="J45" i="3" s="1"/>
  <c r="K26" i="3"/>
  <c r="K45" i="3" s="1"/>
  <c r="L26" i="3"/>
  <c r="L45" i="3" s="1"/>
  <c r="H26" i="3"/>
  <c r="H45" i="3" s="1"/>
  <c r="I27" i="3"/>
  <c r="J27" i="3"/>
  <c r="K27" i="3"/>
  <c r="L27" i="3"/>
  <c r="I28" i="3"/>
  <c r="J28" i="3"/>
  <c r="K28" i="3"/>
  <c r="I29" i="3"/>
  <c r="J29" i="3"/>
  <c r="K29" i="3"/>
  <c r="L29" i="3"/>
  <c r="I30" i="3"/>
  <c r="J30" i="3"/>
  <c r="K30" i="3"/>
  <c r="L30" i="3"/>
  <c r="I31" i="3"/>
  <c r="J31" i="3"/>
  <c r="K31" i="3"/>
  <c r="L31" i="3"/>
  <c r="I32" i="3"/>
  <c r="J32" i="3"/>
  <c r="K32" i="3"/>
  <c r="L32" i="3"/>
  <c r="I33" i="3"/>
  <c r="J33" i="3"/>
  <c r="K33" i="3"/>
  <c r="L33" i="3"/>
  <c r="I34" i="3"/>
  <c r="I53" i="3" s="1"/>
  <c r="J34" i="3"/>
  <c r="J53" i="3" s="1"/>
  <c r="K34" i="3"/>
  <c r="K53" i="3" s="1"/>
  <c r="L34" i="3"/>
  <c r="L53" i="3" s="1"/>
  <c r="I35" i="3"/>
  <c r="J35" i="3"/>
  <c r="K35" i="3"/>
  <c r="L35" i="3"/>
  <c r="I36" i="3"/>
  <c r="J36" i="3"/>
  <c r="K36" i="3"/>
  <c r="L36" i="3"/>
  <c r="I37" i="3"/>
  <c r="J37" i="3"/>
  <c r="K37" i="3"/>
  <c r="L37" i="3"/>
  <c r="I38" i="3"/>
  <c r="I57" i="3" s="1"/>
  <c r="J38" i="3"/>
  <c r="J57" i="3" s="1"/>
  <c r="K38" i="3"/>
  <c r="K57" i="3" s="1"/>
  <c r="L38" i="3"/>
  <c r="L57" i="3" s="1"/>
  <c r="H29" i="3"/>
  <c r="H30" i="3"/>
  <c r="H32" i="3"/>
  <c r="H33" i="3"/>
  <c r="H34" i="3"/>
  <c r="H53" i="3" s="1"/>
  <c r="H35" i="3"/>
  <c r="H36" i="3"/>
  <c r="H37" i="3"/>
  <c r="H38" i="3"/>
  <c r="H57" i="3" s="1"/>
  <c r="P8" i="5" l="1"/>
  <c r="O8" i="5"/>
  <c r="P9" i="5"/>
  <c r="O9" i="5"/>
  <c r="P10" i="5"/>
  <c r="O10" i="5"/>
  <c r="P11" i="5"/>
  <c r="O11" i="5"/>
  <c r="P12" i="5"/>
  <c r="O12" i="5"/>
  <c r="P13" i="5"/>
  <c r="O13" i="5"/>
  <c r="P14" i="5"/>
  <c r="O14" i="5"/>
  <c r="P15" i="5"/>
  <c r="O15" i="5"/>
  <c r="P16" i="5"/>
  <c r="O16" i="5"/>
  <c r="P17" i="5"/>
  <c r="O17" i="5"/>
  <c r="O18" i="5"/>
  <c r="P19" i="5"/>
  <c r="O19" i="5"/>
  <c r="O8" i="6"/>
  <c r="P8" i="6"/>
  <c r="O9" i="6"/>
  <c r="P9" i="6"/>
  <c r="O10" i="6"/>
  <c r="P10" i="6"/>
  <c r="O11" i="6"/>
  <c r="P11" i="6"/>
  <c r="O12" i="6"/>
  <c r="P12" i="6"/>
  <c r="O13" i="6"/>
  <c r="P13" i="6"/>
  <c r="O14" i="6"/>
  <c r="P14" i="6"/>
  <c r="O15" i="6"/>
  <c r="P15" i="6"/>
  <c r="O16" i="6"/>
  <c r="P16" i="6"/>
  <c r="O17" i="6"/>
  <c r="P17" i="6"/>
  <c r="O18" i="6"/>
  <c r="P18" i="6"/>
  <c r="O19" i="6"/>
  <c r="P19" i="6"/>
  <c r="O8" i="3"/>
  <c r="P8" i="3"/>
  <c r="O13" i="3"/>
  <c r="P13" i="3"/>
  <c r="P7" i="6"/>
  <c r="O7" i="6"/>
  <c r="P7" i="3"/>
  <c r="O7" i="3"/>
  <c r="P6" i="3"/>
  <c r="O6" i="3"/>
  <c r="P7" i="5"/>
  <c r="O7" i="5"/>
  <c r="H44" i="6"/>
  <c r="I44" i="6"/>
  <c r="J44" i="6"/>
  <c r="K44" i="6"/>
  <c r="L44" i="6"/>
  <c r="I44" i="5"/>
  <c r="J44" i="5"/>
  <c r="K44" i="5"/>
  <c r="L44" i="5"/>
  <c r="O6" i="5" l="1"/>
  <c r="P6" i="6"/>
  <c r="O6" i="6"/>
  <c r="P6" i="5"/>
  <c r="O25" i="3"/>
  <c r="O27" i="3"/>
  <c r="O28" i="3"/>
  <c r="O29" i="3"/>
  <c r="O26" i="3"/>
  <c r="P28" i="3"/>
  <c r="R34" i="3" s="1"/>
  <c r="G9" i="7" s="1"/>
  <c r="P27" i="3"/>
  <c r="Q34" i="3" s="1"/>
  <c r="P29" i="3"/>
  <c r="S34" i="3" s="1"/>
  <c r="I10" i="7" s="1"/>
  <c r="P26" i="3"/>
  <c r="P34" i="3" s="1"/>
  <c r="J7" i="7" s="1"/>
  <c r="P25" i="3"/>
  <c r="O34" i="3" s="1"/>
  <c r="O26" i="5" l="1"/>
  <c r="O35" i="3"/>
  <c r="P35" i="3"/>
  <c r="S35" i="3"/>
  <c r="Q35" i="3"/>
  <c r="R35" i="3"/>
  <c r="O29" i="6"/>
  <c r="O28" i="6"/>
  <c r="O27" i="6"/>
  <c r="O26" i="6"/>
  <c r="O25" i="6"/>
  <c r="P25" i="6"/>
  <c r="O34" i="6" s="1"/>
  <c r="P26" i="6"/>
  <c r="P34" i="6" s="1"/>
  <c r="P27" i="6"/>
  <c r="Q34" i="6" s="1"/>
  <c r="H8" i="7" s="1"/>
  <c r="P28" i="6"/>
  <c r="R34" i="6" s="1"/>
  <c r="F9" i="7" s="1"/>
  <c r="P29" i="6"/>
  <c r="S34" i="6" s="1"/>
  <c r="J10" i="7" s="1"/>
  <c r="O29" i="5"/>
  <c r="O27" i="5"/>
  <c r="P25" i="5"/>
  <c r="O34" i="5" s="1"/>
  <c r="P26" i="5"/>
  <c r="P34" i="5" s="1"/>
  <c r="I7" i="7" s="1"/>
  <c r="K7" i="7" s="1"/>
  <c r="P27" i="5"/>
  <c r="Q34" i="5" s="1"/>
  <c r="J8" i="7" s="1"/>
  <c r="K8" i="7" s="1"/>
  <c r="P28" i="5"/>
  <c r="R34" i="5" s="1"/>
  <c r="H9" i="7" s="1"/>
  <c r="K9" i="7" s="1"/>
  <c r="P29" i="5"/>
  <c r="S34" i="5" s="1"/>
  <c r="F10" i="7" s="1"/>
  <c r="K10" i="7" s="1"/>
  <c r="K6" i="7" l="1"/>
  <c r="K11" i="7"/>
  <c r="L6" i="7" s="1"/>
  <c r="O35" i="5"/>
  <c r="S35" i="6"/>
  <c r="Q35" i="6"/>
  <c r="O35" i="6"/>
  <c r="S35" i="5"/>
  <c r="R35" i="6"/>
  <c r="P35" i="6"/>
  <c r="R35" i="5"/>
  <c r="Q35" i="5"/>
  <c r="P35" i="5"/>
  <c r="L9" i="7" l="1"/>
  <c r="L8" i="7"/>
  <c r="L7" i="7"/>
  <c r="L10" i="7"/>
  <c r="M10" i="7" s="1"/>
  <c r="M6" i="7" l="1"/>
  <c r="M7" i="7"/>
  <c r="M8" i="7"/>
  <c r="M9" i="7"/>
</calcChain>
</file>

<file path=xl/sharedStrings.xml><?xml version="1.0" encoding="utf-8"?>
<sst xmlns="http://schemas.openxmlformats.org/spreadsheetml/2006/main" count="399" uniqueCount="67">
  <si>
    <t>1a. Tabel Kriteria dan Bobot Kriteria</t>
  </si>
  <si>
    <t>3. Matriks Keputusan dengan Nilai Numerik</t>
  </si>
  <si>
    <t>6. Solusi ideal Posotif dan Negatif</t>
  </si>
  <si>
    <t>Kriteria</t>
  </si>
  <si>
    <t>Sub Kriteria</t>
  </si>
  <si>
    <t>Bobot</t>
  </si>
  <si>
    <t>A1</t>
  </si>
  <si>
    <t>A2</t>
  </si>
  <si>
    <t>A3</t>
  </si>
  <si>
    <t>A4</t>
  </si>
  <si>
    <t>A5</t>
  </si>
  <si>
    <t>Solusi Ideal Positif</t>
  </si>
  <si>
    <t>Solusi Ideal Negatif</t>
  </si>
  <si>
    <t>Indisipliner (C1)</t>
  </si>
  <si>
    <t>Absen tanpa Konfirmasi (P1)</t>
  </si>
  <si>
    <t>cost</t>
  </si>
  <si>
    <t>P1</t>
  </si>
  <si>
    <t>Jumlah Surat Peringatan [sp] (P2)</t>
  </si>
  <si>
    <t>P2</t>
  </si>
  <si>
    <t>Pemrograman (C2)</t>
  </si>
  <si>
    <t>Pemrograman Web (P3)</t>
  </si>
  <si>
    <t>benefit</t>
  </si>
  <si>
    <t>P3</t>
  </si>
  <si>
    <t>Pemrograman Mobile (P4)</t>
  </si>
  <si>
    <t>P4</t>
  </si>
  <si>
    <t>Layanan Web (P5)</t>
  </si>
  <si>
    <t>P5</t>
  </si>
  <si>
    <t>Database (C3)</t>
  </si>
  <si>
    <t>Query (P6)</t>
  </si>
  <si>
    <t>P6</t>
  </si>
  <si>
    <t>Teori Database (P7)</t>
  </si>
  <si>
    <t>P7</t>
  </si>
  <si>
    <t>Desain (C4)</t>
  </si>
  <si>
    <t>UI (P8)</t>
  </si>
  <si>
    <t>P8</t>
  </si>
  <si>
    <t>UX (P9)</t>
  </si>
  <si>
    <t>P9</t>
  </si>
  <si>
    <t>CSS (P10)</t>
  </si>
  <si>
    <t>P10</t>
  </si>
  <si>
    <t>Jaringan (C5)</t>
  </si>
  <si>
    <t>Jaringan (P11)</t>
  </si>
  <si>
    <t>P11</t>
  </si>
  <si>
    <t>Keamanan (P12)</t>
  </si>
  <si>
    <t>P12</t>
  </si>
  <si>
    <t>Insinyur Sistem (P13)</t>
  </si>
  <si>
    <t>P13</t>
  </si>
  <si>
    <t>Pengalaman Dukungan IT (P14)</t>
  </si>
  <si>
    <t>P14</t>
  </si>
  <si>
    <t>3. Matriks Keputusan Ternormalisasi</t>
  </si>
  <si>
    <t>7. Jarak Tiap Alternatif dari Solusi Ideal Posotif dan Negatif</t>
  </si>
  <si>
    <t>8. Skor Akhir dari Setiap Alternatif</t>
  </si>
  <si>
    <t xml:space="preserve">Ranking </t>
  </si>
  <si>
    <t>P</t>
  </si>
  <si>
    <t>C1</t>
  </si>
  <si>
    <t>C2</t>
  </si>
  <si>
    <t>C3</t>
  </si>
  <si>
    <t>C4</t>
  </si>
  <si>
    <t>C5</t>
  </si>
  <si>
    <t>1. Bobot Borda</t>
  </si>
  <si>
    <t>2. Perhitungan Akhir</t>
  </si>
  <si>
    <t>Ranking</t>
  </si>
  <si>
    <t>Bobot Borda</t>
  </si>
  <si>
    <t>Alternatif</t>
  </si>
  <si>
    <t> </t>
  </si>
  <si>
    <t>Poin Borda</t>
  </si>
  <si>
    <t>Nilai Borda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</si>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</sst>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scheme val="minor"/>
    </font>
    <font>
      <sz val="11"/>
      <color rgb="FF1F1F1F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7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" xfId="0" applyFill="1" applyBorder="1" applyAlignment="1">
      <alignment horizontal="center"/>
    </xf>
    <xf numFmtId="0" fontId="0" fillId="3" borderId="11" xfId="0" applyFill="1" applyBorder="1"/>
    <xf numFmtId="0" fontId="0" fillId="3" borderId="6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 applyAlignment="1">
      <alignment horizontal="center"/>
    </xf>
    <xf numFmtId="0" fontId="0" fillId="6" borderId="4" xfId="0" applyFill="1" applyBorder="1"/>
    <xf numFmtId="0" fontId="0" fillId="7" borderId="4" xfId="0" applyFill="1" applyBorder="1"/>
    <xf numFmtId="0" fontId="0" fillId="4" borderId="4" xfId="0" applyFill="1" applyBorder="1"/>
    <xf numFmtId="0" fontId="0" fillId="8" borderId="4" xfId="0" applyFill="1" applyBorder="1"/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/>
    <xf numFmtId="0" fontId="2" fillId="2" borderId="12" xfId="0" applyFont="1" applyFill="1" applyBorder="1" applyAlignment="1">
      <alignment horizontal="center" readingOrder="1"/>
    </xf>
    <xf numFmtId="0" fontId="3" fillId="0" borderId="12" xfId="0" applyFont="1" applyBorder="1" applyAlignment="1">
      <alignment horizontal="center" readingOrder="1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5" fillId="0" borderId="4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0" fillId="0" borderId="0" xfId="0" applyBorder="1"/>
    <xf numFmtId="0" fontId="5" fillId="0" borderId="6" xfId="0" applyFont="1" applyFill="1" applyBorder="1" applyAlignment="1"/>
    <xf numFmtId="0" fontId="5" fillId="0" borderId="11" xfId="0" applyFont="1" applyFill="1" applyBorder="1" applyAlignment="1"/>
    <xf numFmtId="0" fontId="5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5" fillId="0" borderId="18" xfId="0" applyFont="1" applyFill="1" applyBorder="1" applyAlignment="1"/>
    <xf numFmtId="0" fontId="5" fillId="0" borderId="10" xfId="0" applyFont="1" applyFill="1" applyBorder="1" applyAlignment="1"/>
    <xf numFmtId="0" fontId="5" fillId="0" borderId="3" xfId="0" applyFont="1" applyFill="1" applyBorder="1" applyAlignment="1"/>
    <xf numFmtId="0" fontId="0" fillId="0" borderId="18" xfId="0" applyBorder="1"/>
    <xf numFmtId="0" fontId="0" fillId="0" borderId="17" xfId="0" applyBorder="1"/>
    <xf numFmtId="0" fontId="0" fillId="2" borderId="18" xfId="0" applyFill="1" applyBorder="1"/>
    <xf numFmtId="0" fontId="0" fillId="0" borderId="18" xfId="0" applyBorder="1" applyAlignment="1">
      <alignment horizontal="center"/>
    </xf>
    <xf numFmtId="0" fontId="1" fillId="0" borderId="18" xfId="0" applyFont="1" applyBorder="1"/>
    <xf numFmtId="0" fontId="0" fillId="2" borderId="1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readingOrder="1"/>
    </xf>
    <xf numFmtId="0" fontId="0" fillId="9" borderId="4" xfId="0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readingOrder="1"/>
    </xf>
  </cellXfs>
  <cellStyles count="1">
    <cellStyle name="Normal" xfId="0" builtinId="0"/>
  </cellStyles>
  <dxfs count="18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962B2-6CE9-4ABF-A9AE-FE56FCA0234D}" name="Table1" displayName="Table1" ref="B5:C19" totalsRowShown="0" headerRowDxfId="17" headerRowBorderDxfId="15" tableBorderDxfId="16" totalsRowBorderDxfId="14">
  <autoFilter ref="B5:C19" xr:uid="{868962B2-6CE9-4ABF-A9AE-FE56FCA0234D}"/>
  <tableColumns count="2">
    <tableColumn id="1" xr3:uid="{69DB7954-ABD0-4F92-AD5E-302F9EBE3DFE}" name="Kriteria" dataDxfId="13"/>
    <tableColumn id="2" xr3:uid="{30ABCC12-D6E1-4A3F-8575-76A5544811E5}" name="Sub Kriteria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3FEF44-2083-4017-B057-9BABDCBB6D1E}" name="Table134" displayName="Table134" ref="B5:C19" totalsRowShown="0" headerRowDxfId="11" headerRowBorderDxfId="9" tableBorderDxfId="10" totalsRowBorderDxfId="8">
  <autoFilter ref="B5:C19" xr:uid="{868962B2-6CE9-4ABF-A9AE-FE56FCA0234D}"/>
  <tableColumns count="2">
    <tableColumn id="1" xr3:uid="{D8CEFF0E-D664-4518-8FAB-880454F8FEB2}" name="Kriteria" dataDxfId="7"/>
    <tableColumn id="2" xr3:uid="{19D81D87-EA6C-485C-816A-F5C2A1A5D75D}" name="Sub Kriteria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21F61-81FC-4C01-AE00-0AF16BE28294}" name="Table13" displayName="Table13" ref="B5:C19" totalsRowShown="0" headerRowDxfId="5" headerRowBorderDxfId="3" tableBorderDxfId="4" totalsRowBorderDxfId="2">
  <autoFilter ref="B5:C19" xr:uid="{868962B2-6CE9-4ABF-A9AE-FE56FCA0234D}"/>
  <tableColumns count="2">
    <tableColumn id="1" xr3:uid="{5786C576-D9E8-4BD4-A474-A2410058C1A8}" name="Kriteria" dataDxfId="1"/>
    <tableColumn id="2" xr3:uid="{C4AC33C3-5C07-4A5B-8C2A-7A2DC0D870D1}" name="Sub Kriteri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FC42-E07F-4C17-9107-291682612646}">
  <dimension ref="B4:S57"/>
  <sheetViews>
    <sheetView zoomScale="64" workbookViewId="0">
      <selection activeCell="B27" sqref="B27"/>
    </sheetView>
  </sheetViews>
  <sheetFormatPr defaultRowHeight="14.45"/>
  <cols>
    <col min="2" max="2" width="21.85546875" customWidth="1"/>
    <col min="3" max="3" width="29" customWidth="1"/>
    <col min="7" max="7" width="13" customWidth="1"/>
    <col min="8" max="8" width="23" customWidth="1"/>
    <col min="9" max="9" width="16.28515625" customWidth="1"/>
    <col min="10" max="10" width="16" customWidth="1"/>
    <col min="11" max="11" width="14.7109375" customWidth="1"/>
    <col min="12" max="12" width="15.5703125" customWidth="1"/>
    <col min="14" max="14" width="13.140625" customWidth="1"/>
    <col min="15" max="15" width="20.42578125" customWidth="1"/>
    <col min="16" max="16" width="18.42578125" customWidth="1"/>
    <col min="17" max="17" width="17.42578125" customWidth="1"/>
    <col min="18" max="18" width="14.7109375" customWidth="1"/>
    <col min="19" max="19" width="16.85546875" customWidth="1"/>
  </cols>
  <sheetData>
    <row r="4" spans="2:16" ht="15">
      <c r="B4" s="1" t="s">
        <v>0</v>
      </c>
      <c r="G4" s="1" t="s">
        <v>1</v>
      </c>
      <c r="N4" s="1" t="s">
        <v>2</v>
      </c>
    </row>
    <row r="5" spans="2:16" ht="15">
      <c r="B5" s="9" t="s">
        <v>3</v>
      </c>
      <c r="C5" s="11" t="s">
        <v>4</v>
      </c>
      <c r="D5" s="7" t="s">
        <v>5</v>
      </c>
      <c r="E5" s="8"/>
      <c r="G5" s="34"/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N5" s="3"/>
      <c r="O5" s="5" t="s">
        <v>11</v>
      </c>
      <c r="P5" s="5" t="s">
        <v>12</v>
      </c>
    </row>
    <row r="6" spans="2:16" ht="15">
      <c r="B6" s="25" t="s">
        <v>13</v>
      </c>
      <c r="C6" s="26" t="s">
        <v>14</v>
      </c>
      <c r="D6" s="27">
        <v>0.03</v>
      </c>
      <c r="E6" s="27" t="s">
        <v>15</v>
      </c>
      <c r="G6" s="7" t="s">
        <v>16</v>
      </c>
      <c r="H6" s="68">
        <v>0</v>
      </c>
      <c r="I6" s="34">
        <v>2</v>
      </c>
      <c r="J6" s="34">
        <v>3</v>
      </c>
      <c r="K6" s="67">
        <v>0</v>
      </c>
      <c r="L6" s="34">
        <v>1</v>
      </c>
      <c r="N6" s="2" t="s">
        <v>16</v>
      </c>
      <c r="O6" s="4">
        <f>MIN(H44:L44)</f>
        <v>0</v>
      </c>
      <c r="P6" s="4">
        <f>MAX(H44:L44)</f>
        <v>2.4053511772118195E-2</v>
      </c>
    </row>
    <row r="7" spans="2:16">
      <c r="B7" s="28"/>
      <c r="C7" s="29" t="s">
        <v>17</v>
      </c>
      <c r="D7" s="27">
        <v>0.04</v>
      </c>
      <c r="E7" s="27" t="s">
        <v>15</v>
      </c>
      <c r="G7" s="7" t="s">
        <v>18</v>
      </c>
      <c r="H7" s="67">
        <v>0</v>
      </c>
      <c r="I7" s="34">
        <v>1</v>
      </c>
      <c r="J7" s="67">
        <v>0</v>
      </c>
      <c r="K7" s="67">
        <v>0</v>
      </c>
      <c r="L7" s="34">
        <v>1</v>
      </c>
      <c r="N7" s="2" t="s">
        <v>18</v>
      </c>
      <c r="O7" s="4">
        <f>MIN(H45:L45)</f>
        <v>0</v>
      </c>
      <c r="P7" s="4">
        <f>MAX(H45:L45)</f>
        <v>2.8284271247461898E-2</v>
      </c>
    </row>
    <row r="8" spans="2:16">
      <c r="B8" s="14" t="s">
        <v>19</v>
      </c>
      <c r="C8" s="15" t="s">
        <v>20</v>
      </c>
      <c r="D8" s="30">
        <v>0.15</v>
      </c>
      <c r="E8" s="30" t="s">
        <v>21</v>
      </c>
      <c r="G8" s="7" t="s">
        <v>22</v>
      </c>
      <c r="H8" s="34">
        <v>80</v>
      </c>
      <c r="I8" s="34">
        <v>60</v>
      </c>
      <c r="J8" s="34">
        <v>70</v>
      </c>
      <c r="K8" s="34">
        <v>50</v>
      </c>
      <c r="L8" s="34">
        <v>60</v>
      </c>
      <c r="N8" s="2" t="s">
        <v>22</v>
      </c>
      <c r="O8" s="4">
        <f t="shared" ref="O7:O19" si="0">MAX(H46:L46)</f>
        <v>8.2807867121082498E-2</v>
      </c>
      <c r="P8" s="4">
        <f t="shared" ref="P7:P19" si="1">MIN(H46:L46)</f>
        <v>5.1754916950676556E-2</v>
      </c>
    </row>
    <row r="9" spans="2:16">
      <c r="B9" s="14"/>
      <c r="C9" s="15" t="s">
        <v>23</v>
      </c>
      <c r="D9" s="30">
        <v>0.13</v>
      </c>
      <c r="E9" s="30" t="s">
        <v>21</v>
      </c>
      <c r="G9" s="7" t="s">
        <v>24</v>
      </c>
      <c r="H9" s="34">
        <v>70</v>
      </c>
      <c r="I9" s="34">
        <v>80</v>
      </c>
      <c r="J9" s="34">
        <v>80</v>
      </c>
      <c r="K9" s="34">
        <v>80</v>
      </c>
      <c r="L9" s="34">
        <v>80</v>
      </c>
      <c r="N9" s="2" t="s">
        <v>24</v>
      </c>
      <c r="O9" s="4">
        <f t="shared" si="0"/>
        <v>5.9550226768642293E-2</v>
      </c>
      <c r="P9" s="4">
        <f t="shared" si="1"/>
        <v>5.2106448422562006E-2</v>
      </c>
    </row>
    <row r="10" spans="2:16">
      <c r="B10" s="14"/>
      <c r="C10" s="15" t="s">
        <v>25</v>
      </c>
      <c r="D10" s="30">
        <v>0.11</v>
      </c>
      <c r="E10" s="30" t="s">
        <v>21</v>
      </c>
      <c r="G10" s="7" t="s">
        <v>26</v>
      </c>
      <c r="H10" s="34">
        <v>100</v>
      </c>
      <c r="I10" s="34">
        <v>80</v>
      </c>
      <c r="J10" s="34">
        <v>90</v>
      </c>
      <c r="K10" s="34">
        <v>50</v>
      </c>
      <c r="L10" s="34">
        <v>70</v>
      </c>
      <c r="N10" s="2" t="s">
        <v>26</v>
      </c>
      <c r="O10" s="4">
        <f t="shared" si="0"/>
        <v>6.1588176205143966E-2</v>
      </c>
      <c r="P10" s="4">
        <f t="shared" si="1"/>
        <v>3.0794088102571983E-2</v>
      </c>
    </row>
    <row r="11" spans="2:16">
      <c r="B11" s="16" t="s">
        <v>27</v>
      </c>
      <c r="C11" s="17" t="s">
        <v>28</v>
      </c>
      <c r="D11" s="31">
        <v>0.09</v>
      </c>
      <c r="E11" s="31" t="s">
        <v>21</v>
      </c>
      <c r="G11" s="7" t="s">
        <v>29</v>
      </c>
      <c r="H11" s="34">
        <v>70</v>
      </c>
      <c r="I11" s="34">
        <v>80</v>
      </c>
      <c r="J11" s="34">
        <v>90</v>
      </c>
      <c r="K11" s="34">
        <v>90</v>
      </c>
      <c r="L11" s="34">
        <v>70</v>
      </c>
      <c r="N11" s="2" t="s">
        <v>29</v>
      </c>
      <c r="O11" s="4">
        <f t="shared" si="0"/>
        <v>4.4999999999999998E-2</v>
      </c>
      <c r="P11" s="4">
        <f t="shared" si="1"/>
        <v>3.4999999999999996E-2</v>
      </c>
    </row>
    <row r="12" spans="2:16">
      <c r="B12" s="16"/>
      <c r="C12" s="17" t="s">
        <v>30</v>
      </c>
      <c r="D12" s="31">
        <v>0.08</v>
      </c>
      <c r="E12" s="31" t="s">
        <v>21</v>
      </c>
      <c r="G12" s="7" t="s">
        <v>31</v>
      </c>
      <c r="H12" s="34">
        <v>40</v>
      </c>
      <c r="I12" s="34">
        <v>80</v>
      </c>
      <c r="J12" s="34">
        <v>80</v>
      </c>
      <c r="K12" s="34">
        <v>80</v>
      </c>
      <c r="L12" s="34">
        <v>90</v>
      </c>
      <c r="N12" s="2" t="s">
        <v>31</v>
      </c>
      <c r="O12" s="4">
        <f t="shared" si="0"/>
        <v>4.2352941176470586E-2</v>
      </c>
      <c r="P12" s="4">
        <f t="shared" si="1"/>
        <v>1.8823529411764708E-2</v>
      </c>
    </row>
    <row r="13" spans="2:16">
      <c r="B13" s="18" t="s">
        <v>32</v>
      </c>
      <c r="C13" s="19" t="s">
        <v>33</v>
      </c>
      <c r="D13" s="32">
        <v>0.04</v>
      </c>
      <c r="E13" s="32" t="s">
        <v>21</v>
      </c>
      <c r="G13" s="7" t="s">
        <v>34</v>
      </c>
      <c r="H13" s="34">
        <v>80</v>
      </c>
      <c r="I13" s="34">
        <v>70</v>
      </c>
      <c r="J13" s="34">
        <v>80</v>
      </c>
      <c r="K13" s="34">
        <v>80</v>
      </c>
      <c r="L13" s="34">
        <v>80</v>
      </c>
      <c r="N13" s="2" t="s">
        <v>34</v>
      </c>
      <c r="O13" s="4">
        <f t="shared" si="0"/>
        <v>1.8323146698043781E-2</v>
      </c>
      <c r="P13" s="4">
        <f t="shared" si="1"/>
        <v>1.6032753360788309E-2</v>
      </c>
    </row>
    <row r="14" spans="2:16">
      <c r="B14" s="18"/>
      <c r="C14" s="19" t="s">
        <v>35</v>
      </c>
      <c r="D14" s="32">
        <v>0.04</v>
      </c>
      <c r="E14" s="32" t="s">
        <v>21</v>
      </c>
      <c r="G14" s="7" t="s">
        <v>36</v>
      </c>
      <c r="H14" s="34">
        <v>90</v>
      </c>
      <c r="I14" s="34">
        <v>90</v>
      </c>
      <c r="J14" s="34">
        <v>80</v>
      </c>
      <c r="K14" s="34">
        <v>90</v>
      </c>
      <c r="L14" s="34">
        <v>90</v>
      </c>
      <c r="N14" s="2" t="s">
        <v>36</v>
      </c>
      <c r="O14" s="4">
        <f t="shared" si="0"/>
        <v>1.8276230972405143E-2</v>
      </c>
      <c r="P14" s="4">
        <f t="shared" si="1"/>
        <v>1.6245538642137906E-2</v>
      </c>
    </row>
    <row r="15" spans="2:16">
      <c r="B15" s="18"/>
      <c r="C15" s="19" t="s">
        <v>37</v>
      </c>
      <c r="D15" s="32">
        <v>0.05</v>
      </c>
      <c r="E15" s="32" t="s">
        <v>21</v>
      </c>
      <c r="G15" s="7" t="s">
        <v>38</v>
      </c>
      <c r="H15" s="34">
        <v>80</v>
      </c>
      <c r="I15" s="34">
        <v>60</v>
      </c>
      <c r="J15" s="34">
        <v>70</v>
      </c>
      <c r="K15" s="34">
        <v>60</v>
      </c>
      <c r="L15" s="34">
        <v>40</v>
      </c>
      <c r="N15" s="2" t="s">
        <v>38</v>
      </c>
      <c r="O15" s="4">
        <f t="shared" si="0"/>
        <v>2.8213824634343933E-2</v>
      </c>
      <c r="P15" s="4">
        <f t="shared" si="1"/>
        <v>1.4106912317171967E-2</v>
      </c>
    </row>
    <row r="16" spans="2:16">
      <c r="B16" s="20" t="s">
        <v>39</v>
      </c>
      <c r="C16" s="21" t="s">
        <v>40</v>
      </c>
      <c r="D16" s="33">
        <v>0.06</v>
      </c>
      <c r="E16" s="33" t="s">
        <v>21</v>
      </c>
      <c r="G16" s="7" t="s">
        <v>41</v>
      </c>
      <c r="H16" s="34">
        <v>40</v>
      </c>
      <c r="I16" s="34">
        <v>80</v>
      </c>
      <c r="J16" s="34">
        <v>80</v>
      </c>
      <c r="K16" s="34">
        <v>80</v>
      </c>
      <c r="L16" s="34">
        <v>90</v>
      </c>
      <c r="N16" s="2" t="s">
        <v>41</v>
      </c>
      <c r="O16" s="4">
        <f t="shared" si="0"/>
        <v>3.1764705882352938E-2</v>
      </c>
      <c r="P16" s="4">
        <f t="shared" si="1"/>
        <v>1.4117647058823528E-2</v>
      </c>
    </row>
    <row r="17" spans="2:16">
      <c r="B17" s="20"/>
      <c r="C17" s="21" t="s">
        <v>42</v>
      </c>
      <c r="D17" s="33">
        <v>0.06</v>
      </c>
      <c r="E17" s="33" t="s">
        <v>21</v>
      </c>
      <c r="G17" s="7" t="s">
        <v>43</v>
      </c>
      <c r="H17" s="34">
        <v>70</v>
      </c>
      <c r="I17" s="34">
        <v>80</v>
      </c>
      <c r="J17" s="34">
        <v>60</v>
      </c>
      <c r="K17" s="34">
        <v>60</v>
      </c>
      <c r="L17" s="34">
        <v>50</v>
      </c>
      <c r="N17" s="2" t="s">
        <v>43</v>
      </c>
      <c r="O17" s="4">
        <f t="shared" si="0"/>
        <v>3.3123146848433004E-2</v>
      </c>
      <c r="P17" s="4">
        <f t="shared" si="1"/>
        <v>2.0701966780270625E-2</v>
      </c>
    </row>
    <row r="18" spans="2:16">
      <c r="B18" s="20"/>
      <c r="C18" s="21" t="s">
        <v>44</v>
      </c>
      <c r="D18" s="33">
        <v>7.0000000000000007E-2</v>
      </c>
      <c r="E18" s="33" t="s">
        <v>21</v>
      </c>
      <c r="G18" s="7" t="s">
        <v>45</v>
      </c>
      <c r="H18" s="34">
        <v>80</v>
      </c>
      <c r="I18" s="34">
        <v>70</v>
      </c>
      <c r="J18" s="34">
        <v>80</v>
      </c>
      <c r="K18" s="34">
        <v>80</v>
      </c>
      <c r="L18" s="34">
        <v>80</v>
      </c>
      <c r="N18" s="2" t="s">
        <v>45</v>
      </c>
      <c r="O18" s="4">
        <f t="shared" si="0"/>
        <v>3.2065506721576618E-2</v>
      </c>
      <c r="P18" s="4">
        <f t="shared" si="1"/>
        <v>2.8057318381379544E-2</v>
      </c>
    </row>
    <row r="19" spans="2:16">
      <c r="B19" s="22"/>
      <c r="C19" s="23" t="s">
        <v>46</v>
      </c>
      <c r="D19" s="33">
        <v>0.05</v>
      </c>
      <c r="E19" s="33" t="s">
        <v>21</v>
      </c>
      <c r="G19" s="7" t="s">
        <v>47</v>
      </c>
      <c r="H19" s="34">
        <v>40</v>
      </c>
      <c r="I19" s="34">
        <v>80</v>
      </c>
      <c r="J19" s="34">
        <v>60</v>
      </c>
      <c r="K19" s="34">
        <v>80</v>
      </c>
      <c r="L19" s="34">
        <v>80</v>
      </c>
      <c r="N19" s="2" t="s">
        <v>47</v>
      </c>
      <c r="O19" s="4">
        <f t="shared" si="0"/>
        <v>2.5607375986579195E-2</v>
      </c>
      <c r="P19" s="4">
        <f t="shared" si="1"/>
        <v>1.2803687993289598E-2</v>
      </c>
    </row>
    <row r="23" spans="2:16" ht="15">
      <c r="G23" s="1" t="s">
        <v>48</v>
      </c>
      <c r="N23" s="1" t="s">
        <v>49</v>
      </c>
    </row>
    <row r="24" spans="2:16">
      <c r="G24" s="34"/>
      <c r="H24" s="7" t="s">
        <v>6</v>
      </c>
      <c r="I24" s="7" t="s">
        <v>7</v>
      </c>
      <c r="J24" s="7" t="s">
        <v>8</v>
      </c>
      <c r="K24" s="7" t="s">
        <v>9</v>
      </c>
      <c r="L24" s="7" t="s">
        <v>10</v>
      </c>
      <c r="N24" s="41"/>
      <c r="O24" s="8"/>
      <c r="P24" s="8"/>
    </row>
    <row r="25" spans="2:16">
      <c r="G25" s="7" t="s">
        <v>16</v>
      </c>
      <c r="H25" s="7">
        <f>H6/POWER(($H6^2+$I6^2+$J6^2+$K6^2+$L6^2), 0.5)</f>
        <v>0</v>
      </c>
      <c r="I25" s="7">
        <f>I6/POWER(($H6^2+$I6^2+$J6^2+$K6^2+$L6^2), 0.5)</f>
        <v>0.53452248382484879</v>
      </c>
      <c r="J25" s="7">
        <f>J6/POWER(($H6^2+$I6^2+$J6^2+$K6^2+$L6^2), 0.5)</f>
        <v>0.80178372573727319</v>
      </c>
      <c r="K25" s="7">
        <f>K6/POWER(($H6^2+$I6^2+$J6^2+$K6^2+$L6^2), 0.5)</f>
        <v>0</v>
      </c>
      <c r="L25" s="7">
        <f>L6/POWER(($H6^2+$I6^2+$J6^2+$K6^2+$L6^2), 0.5)</f>
        <v>0.2672612419124244</v>
      </c>
      <c r="N25" s="8" t="s">
        <v>6</v>
      </c>
      <c r="O25" s="8">
        <f>POWER(((O6-H25)^2+(O7-H26)^2+(O8-H27)^2+(O9-H28)^2+(O10-H29)^2+(O11-H30)^2+(O12-H31)^2+(O13-H32)^2+(O14-H33)^2+(O15-H34)^2+(O16-H35)^2+(O17-H36)^2+(O18-H37)^2+(O19-H38)^2),0.5)</f>
        <v>1.3755175234267001</v>
      </c>
      <c r="P25" s="8">
        <f>POWER(((H25-P6)^2+(H26-P7)^2+(H27-P8)^2+(H28-P9)^2+(H29-P10)^2+(H30-P11)^2+(H31-P12)^2+(H32-P13)^2+(H33-P14)^2+(H34-P15)^2+(H35-P16)^2+(H36-P17)^2+(H37-P18)^2+(H38-P19)^2),0.5)</f>
        <v>1.4228038324787666</v>
      </c>
    </row>
    <row r="26" spans="2:16">
      <c r="G26" s="7" t="s">
        <v>18</v>
      </c>
      <c r="H26" s="7">
        <f>H7/POWER(($H7^2+$I7^2+$J7^2+$K7^2+$L7^2), 0.5)</f>
        <v>0</v>
      </c>
      <c r="I26" s="7">
        <f>I7/POWER(($H7^2+$I7^2+$J7^2+$K7^2+$L7^2), 0.5)</f>
        <v>0.70710678118654746</v>
      </c>
      <c r="J26" s="7">
        <f>J7/POWER(($H7^2+$I7^2+$J7^2+$K7^2+$L7^2), 0.5)</f>
        <v>0</v>
      </c>
      <c r="K26" s="7">
        <f>K7/POWER(($H7^2+$I7^2+$J7^2+$K7^2+$L7^2), 0.5)</f>
        <v>0</v>
      </c>
      <c r="L26" s="7">
        <f>L7/POWER(($H7^2+$I7^2+$J7^2+$K7^2+$L7^2), 0.5)</f>
        <v>0.70710678118654746</v>
      </c>
      <c r="N26" s="8" t="s">
        <v>7</v>
      </c>
      <c r="O26" s="8">
        <f>POWER(((O6-I25)^2+(O7-I26)^2+(O8-I27)^2+(O9-I28)^2+(O10-I29)^2+(O11-I30)^2+(O12-I31)^2+(O13-I32)^2+(O14-I33)^2+(O15-I34)^2+(O16-I35)^2+(O17-I36)^2+(O18-I37)^2+(O19-I38)^2),0.5)</f>
        <v>1.6957933937179528</v>
      </c>
      <c r="P26" s="8">
        <f>POWER(((I25-P6)^2+(I26-P7)^2+(I27-P8)^2+(I28-P9)^2+(I29-P10)^2+(I30-P11)^2+(I31-P12)^2+(I32-P13)^2+(I33-P14)^2+(I34-P15)^2+(I35-P16)^2+(I36-P17)^2+(I37-P18)^2+(I38-P19)^2),0.5)</f>
        <v>1.7180704994768912</v>
      </c>
    </row>
    <row r="27" spans="2:16">
      <c r="G27" s="7" t="s">
        <v>22</v>
      </c>
      <c r="H27" s="7">
        <f>H8/POWER(($H8^2+$I8^2+$J8^2+$K8^2+$L8^2), 0.5)</f>
        <v>0.55205244747388338</v>
      </c>
      <c r="I27" s="7">
        <f>I8/POWER(($H8^2+$I8^2+$J8^2+$K8^2+$L8^2), 0.5)</f>
        <v>0.41403933560541251</v>
      </c>
      <c r="J27" s="7">
        <f>J8/POWER(($H8^2+$I8^2+$J8^2+$K8^2+$L8^2), 0.5)</f>
        <v>0.48304589153964794</v>
      </c>
      <c r="K27" s="7">
        <f>K8/POWER(($H8^2+$I8^2+$J8^2+$K8^2+$L8^2), 0.5)</f>
        <v>0.34503277967117707</v>
      </c>
      <c r="L27" s="7">
        <f>L8/POWER(($H8^2+$I8^2+$J8^2+$K8^2+$L8^2), 0.5)</f>
        <v>0.41403933560541251</v>
      </c>
      <c r="N27" s="8" t="s">
        <v>8</v>
      </c>
      <c r="O27" s="8">
        <f>POWER(((O6-J25)^2+(O7-J26)^2+(O8-J27)^2+(O9-J28)^2+(O10-J29)^2+(O11-J30)^2+(O12-J31)^2+(O13-J32)^2+(O14-J33)^2+(O15-J34)^2+(O16-J35)^2+(O17-J36)^2+(O18-J37)^2+(O19-J38)^2),0.5)</f>
        <v>1.6601623784689856</v>
      </c>
      <c r="P27" s="8">
        <f>POWER(((J25-P6)^2+(J26-P7)^2+(J27-P8)^2+(J28-P9)^2+(J29-P10)^2+(J30-P11)^2+(J31-P12)^2+(J32-P13)^2+(J33-P14)^2+(J34-P15)^2+(J35-P16)^2+(J36-P17)^2+(J37-P18)^2+(J38-P19)^2),0.5)</f>
        <v>1.6923285744758185</v>
      </c>
    </row>
    <row r="28" spans="2:16">
      <c r="G28" s="7" t="s">
        <v>24</v>
      </c>
      <c r="H28" s="7">
        <f>H9/POWER(($H9^2+$I9^2+$J9^2+$K9^2+$L9^2), 0.5)</f>
        <v>0.40081883401970775</v>
      </c>
      <c r="I28" s="7">
        <f>I9/POWER(($H9^2+$I9^2+$J9^2+$K9^2+$L9^2), 0.5)</f>
        <v>0.45807866745109455</v>
      </c>
      <c r="J28" s="7">
        <f>J9/POWER(($H9^2+$I9^2+$J9^2+$K9^2+$L9^2), 0.5)</f>
        <v>0.45807866745109455</v>
      </c>
      <c r="K28" s="7">
        <f>K9/POWER(($H9^2+$I9^2+$J9^2+$K9^2+$L9^2), 0.5)</f>
        <v>0.45807866745109455</v>
      </c>
      <c r="L28" s="7">
        <f>L9/POWER(($H9^2+$I9^2+$J9^2+$K9^2+$L9^2), 0.5)</f>
        <v>0.45807866745109455</v>
      </c>
      <c r="N28" s="8" t="s">
        <v>9</v>
      </c>
      <c r="O28" s="8">
        <f>POWER(((O6-K25)^2+(O7-K26)^2+(O8-K27)^2+(O9-K28)^2+(O10-K29)^2+(O11-K30)^2+(O12-K31)^2+(O13-K32)^2+(O14-K33)^2+(O15-K34)^2+(O16-K35)^2+(O17-K36)^2+(O18-K37)^2+(O19-K38)^2),0.5)</f>
        <v>1.4011959152588485</v>
      </c>
      <c r="P28" s="8">
        <f>POWER(((K25-P6)^2+(K26-P7)^2+(K27-P8)^2+(K28-P9)^2+(K29-P10)^2+(K30-P11)^2+(K31-P12)^2+(K32-P13)^2+(K33-P14)^2+(K34-P15)^2+(K35-P16)^2+(K36-P17)^2+(K37-P18)^2+(K38-P19)^2),0.5)</f>
        <v>1.4452987908850263</v>
      </c>
    </row>
    <row r="29" spans="2:16">
      <c r="G29" s="7" t="s">
        <v>26</v>
      </c>
      <c r="H29" s="7">
        <f>H10/POWER(($H10^2+$I10^2+$J10^2+$K10^2+$L10^2), 0.5)</f>
        <v>0.55989251095585424</v>
      </c>
      <c r="I29" s="7">
        <f>I10/POWER(($H10^2+$I10^2+$J10^2+$K10^2+$L10^2), 0.5)</f>
        <v>0.4479140087646834</v>
      </c>
      <c r="J29" s="7">
        <f>J10/POWER(($H10^2+$I10^2+$J10^2+$K10^2+$L10^2), 0.5)</f>
        <v>0.50390325986026885</v>
      </c>
      <c r="K29" s="7">
        <f>K10/POWER(($H10^2+$I10^2+$J10^2+$K10^2+$L10^2), 0.5)</f>
        <v>0.27994625547792712</v>
      </c>
      <c r="L29" s="7">
        <f>L10/POWER(($H10^2+$I10^2+$J10^2+$K10^2+$L10^2), 0.5)</f>
        <v>0.39192475766909796</v>
      </c>
      <c r="N29" s="8" t="s">
        <v>10</v>
      </c>
      <c r="O29" s="8">
        <f>POWER(((O6-L25)^2+(O7-L26)^2+(O8-L27)^2+(O9-L28)^2+(O10-L29)^2+(O11-L30)^2+(O12-L31)^2+(O13-L32)^2+(O14-L33)^2+(O15-L34)^2+(O16-L35)^2+(O17-L36)^2+(O18-L37)^2+(O19-L38)^2),0.5)</f>
        <v>1.5868153776552778</v>
      </c>
      <c r="P29" s="8">
        <f>POWER(((L25-P6)^2+(L26-P7)^2+(L27-P8)^2+(L28-P9)^2+(L29-P10)^2+(L30-P11)^2+(L31-P12)^2+(L32-P13)^2+(L33-P14)^2+(L34-P15)^2+(L35-P16)^2+(L36-P17)^2+(L37-P18)^2+(L38-P19)^2),0.5)</f>
        <v>1.6120714782943257</v>
      </c>
    </row>
    <row r="30" spans="2:16">
      <c r="G30" s="7" t="s">
        <v>29</v>
      </c>
      <c r="H30" s="7">
        <f>H11/POWER(($H11^2+$I11^2+$J11^2+$K11^2+$L11^2), 0.5)</f>
        <v>0.3888888888888889</v>
      </c>
      <c r="I30" s="7">
        <f>I11/POWER(($H11^2+$I11^2+$J11^2+$K11^2+$L11^2), 0.5)</f>
        <v>0.44444444444444442</v>
      </c>
      <c r="J30" s="7">
        <f>J11/POWER(($H11^2+$I11^2+$J11^2+$K11^2+$L11^2), 0.5)</f>
        <v>0.5</v>
      </c>
      <c r="K30" s="7">
        <f>K11/POWER(($H11^2+$I11^2+$J11^2+$K11^2+$L11^2), 0.5)</f>
        <v>0.5</v>
      </c>
      <c r="L30" s="7">
        <f>L11/POWER(($H11^2+$I11^2+$J11^2+$K11^2+$L11^2), 0.5)</f>
        <v>0.3888888888888889</v>
      </c>
    </row>
    <row r="31" spans="2:16">
      <c r="G31" s="7" t="s">
        <v>31</v>
      </c>
      <c r="H31" s="7">
        <f>H12/POWER(($H12^2+$I12^2+$J12^2+$K12^2+$L12^2), 0.5)</f>
        <v>0.23529411764705882</v>
      </c>
      <c r="I31" s="7">
        <f>I12/POWER(($H12^2+$I12^2+$J12^2+$K12^2+$L12^2), 0.5)</f>
        <v>0.47058823529411764</v>
      </c>
      <c r="J31" s="7">
        <f>J12/POWER(($H12^2+$I12^2+$J12^2+$K12^2+$L12^2), 0.5)</f>
        <v>0.47058823529411764</v>
      </c>
      <c r="K31" s="7">
        <f>K12/POWER(($H12^2+$I12^2+$J12^2+$K12^2+$L12^2), 0.5)</f>
        <v>0.47058823529411764</v>
      </c>
      <c r="L31" s="7">
        <f>L12/POWER(($H12^2+$I12^2+$J12^2+$K12^2+$L12^2), 0.5)</f>
        <v>0.52941176470588236</v>
      </c>
    </row>
    <row r="32" spans="2:16" ht="15">
      <c r="G32" s="7" t="s">
        <v>34</v>
      </c>
      <c r="H32" s="7">
        <f>H13/POWER(($H13^2+$I13^2+$J13^2+$K13^2+$L13^2), 0.5)</f>
        <v>0.45807866745109455</v>
      </c>
      <c r="I32" s="7">
        <f>I13/POWER(($H13^2+$I13^2+$J13^2+$K13^2+$L13^2), 0.5)</f>
        <v>0.40081883401970775</v>
      </c>
      <c r="J32" s="7">
        <f>J13/POWER(($H13^2+$I13^2+$J13^2+$K13^2+$L13^2), 0.5)</f>
        <v>0.45807866745109455</v>
      </c>
      <c r="K32" s="7">
        <f>K13/POWER(($H13^2+$I13^2+$J13^2+$K13^2+$L13^2), 0.5)</f>
        <v>0.45807866745109455</v>
      </c>
      <c r="L32" s="7">
        <f>L13/POWER(($H13^2+$I13^2+$J13^2+$K13^2+$L13^2), 0.5)</f>
        <v>0.45807866745109455</v>
      </c>
      <c r="N32" s="1" t="s">
        <v>50</v>
      </c>
    </row>
    <row r="33" spans="7:19">
      <c r="G33" s="7" t="s">
        <v>36</v>
      </c>
      <c r="H33" s="7">
        <f>H14/POWER(($H14^2+$I14^2+$J14^2+$K14^2+$L14^2), 0.5)</f>
        <v>0.45690577431012858</v>
      </c>
      <c r="I33" s="7">
        <f>I14/POWER(($H14^2+$I14^2+$J14^2+$K14^2+$L14^2), 0.5)</f>
        <v>0.45690577431012858</v>
      </c>
      <c r="J33" s="7">
        <f>J14/POWER(($H14^2+$I14^2+$J14^2+$K14^2+$L14^2), 0.5)</f>
        <v>0.40613846605344761</v>
      </c>
      <c r="K33" s="7">
        <f>K14/POWER(($H14^2+$I14^2+$J14^2+$K14^2+$L14^2), 0.5)</f>
        <v>0.45690577431012858</v>
      </c>
      <c r="L33" s="7">
        <f>L14/POWER(($H14^2+$I14^2+$J14^2+$K14^2+$L14^2), 0.5)</f>
        <v>0.45690577431012858</v>
      </c>
      <c r="N33" s="41"/>
      <c r="O33" s="7" t="s">
        <v>6</v>
      </c>
      <c r="P33" s="7" t="s">
        <v>7</v>
      </c>
      <c r="Q33" s="7" t="s">
        <v>8</v>
      </c>
      <c r="R33" s="8" t="s">
        <v>9</v>
      </c>
      <c r="S33" s="8" t="s">
        <v>10</v>
      </c>
    </row>
    <row r="34" spans="7:19">
      <c r="G34" s="7" t="s">
        <v>38</v>
      </c>
      <c r="H34" s="7">
        <f>H15/POWER(($H15^2+$I15^2+$J15^2+$K15^2+$L15^2), 0.5)</f>
        <v>0.56427649268687863</v>
      </c>
      <c r="I34" s="7">
        <f>I15/POWER(($H15^2+$I15^2+$J15^2+$K15^2+$L15^2), 0.5)</f>
        <v>0.42320736951515897</v>
      </c>
      <c r="J34" s="7">
        <f>J15/POWER(($H15^2+$I15^2+$J15^2+$K15^2+$L15^2), 0.5)</f>
        <v>0.49374193110101877</v>
      </c>
      <c r="K34" s="7">
        <f>K15/POWER(($H15^2+$I15^2+$J15^2+$K15^2+$L15^2), 0.5)</f>
        <v>0.42320736951515897</v>
      </c>
      <c r="L34" s="7">
        <f>L15/POWER(($H15^2+$I15^2+$J15^2+$K15^2+$L15^2), 0.5)</f>
        <v>0.28213824634343931</v>
      </c>
      <c r="N34" s="60"/>
      <c r="O34" s="60">
        <f>P25/(O25+P25)</f>
        <v>0.5084490490972875</v>
      </c>
      <c r="P34" s="60">
        <f>P26/(O26+P26)</f>
        <v>0.50326274076177224</v>
      </c>
      <c r="Q34" s="60">
        <f>P27/(O27+P27)</f>
        <v>0.50479735761532452</v>
      </c>
      <c r="R34" s="60">
        <f>P28/(O28+P28)</f>
        <v>0.50774687469662005</v>
      </c>
      <c r="S34" s="60">
        <f>P29/(O29+P29)</f>
        <v>0.50394763894072625</v>
      </c>
    </row>
    <row r="35" spans="7:19">
      <c r="G35" s="7" t="s">
        <v>41</v>
      </c>
      <c r="H35" s="7">
        <f>H16/POWER(($H16^2+$I16^2+$J16^2+$K16^2+$L16^2), 0.5)</f>
        <v>0.23529411764705882</v>
      </c>
      <c r="I35" s="7">
        <f>I16/POWER(($H16^2+$I16^2+$J16^2+$K16^2+$L16^2), 0.5)</f>
        <v>0.47058823529411764</v>
      </c>
      <c r="J35" s="7">
        <f>J16/POWER(($H16^2+$I16^2+$J16^2+$K16^2+$L16^2), 0.5)</f>
        <v>0.47058823529411764</v>
      </c>
      <c r="K35" s="7">
        <f>K16/POWER(($H16^2+$I16^2+$J16^2+$K16^2+$L16^2), 0.5)</f>
        <v>0.47058823529411764</v>
      </c>
      <c r="L35" s="7">
        <f>L16/POWER(($H16^2+$I16^2+$J16^2+$K16^2+$L16^2), 0.5)</f>
        <v>0.52941176470588236</v>
      </c>
      <c r="N35" s="7" t="s">
        <v>51</v>
      </c>
      <c r="O35" s="8">
        <f>RANK(O34,O$34:S$34)</f>
        <v>1</v>
      </c>
      <c r="P35" s="8">
        <f>RANK(P34,O$34:S$34)</f>
        <v>5</v>
      </c>
      <c r="Q35" s="8">
        <f>RANK(Q34,O$34:S$34)</f>
        <v>3</v>
      </c>
      <c r="R35" s="8">
        <f>RANK(R34,O$34:S$34)</f>
        <v>2</v>
      </c>
      <c r="S35" s="8">
        <f>RANK(S34,O$34:S$34)</f>
        <v>4</v>
      </c>
    </row>
    <row r="36" spans="7:19">
      <c r="G36" s="7" t="s">
        <v>43</v>
      </c>
      <c r="H36" s="7">
        <f>H17/POWER(($H17^2+$I17^2+$J17^2+$K17^2+$L17^2), 0.5)</f>
        <v>0.48304589153964794</v>
      </c>
      <c r="I36" s="7">
        <f>I17/POWER(($H17^2+$I17^2+$J17^2+$K17^2+$L17^2), 0.5)</f>
        <v>0.55205244747388338</v>
      </c>
      <c r="J36" s="7">
        <f>J17/POWER(($H17^2+$I17^2+$J17^2+$K17^2+$L17^2), 0.5)</f>
        <v>0.41403933560541251</v>
      </c>
      <c r="K36" s="7">
        <f>K17/POWER(($H17^2+$I17^2+$J17^2+$K17^2+$L17^2), 0.5)</f>
        <v>0.41403933560541251</v>
      </c>
      <c r="L36" s="7">
        <f>L17/POWER(($H17^2+$I17^2+$J17^2+$K17^2+$L17^2), 0.5)</f>
        <v>0.34503277967117707</v>
      </c>
    </row>
    <row r="37" spans="7:19">
      <c r="G37" s="7" t="s">
        <v>45</v>
      </c>
      <c r="H37" s="7">
        <f>H18/POWER(($H18^2+$I18^2+$J18^2+$K18^2+$L18^2), 0.5)</f>
        <v>0.45807866745109455</v>
      </c>
      <c r="I37" s="7">
        <f>I18/POWER(($H18^2+$I18^2+$J18^2+$K18^2+$L18^2), 0.5)</f>
        <v>0.40081883401970775</v>
      </c>
      <c r="J37" s="7">
        <f>J18/POWER(($H18^2+$I18^2+$J18^2+$K18^2+$L18^2), 0.5)</f>
        <v>0.45807866745109455</v>
      </c>
      <c r="K37" s="7">
        <f>K18/POWER(($H18^2+$I18^2+$J18^2+$K18^2+$L18^2), 0.5)</f>
        <v>0.45807866745109455</v>
      </c>
      <c r="L37" s="7">
        <f>L18/POWER(($H18^2+$I18^2+$J18^2+$K18^2+$L18^2), 0.5)</f>
        <v>0.45807866745109455</v>
      </c>
    </row>
    <row r="38" spans="7:19">
      <c r="G38" s="7" t="s">
        <v>47</v>
      </c>
      <c r="H38" s="7">
        <f>H19/POWER(($H19^2+$I19^2+$J19^2+$K19^2+$L19^2), 0.5)</f>
        <v>0.25607375986579195</v>
      </c>
      <c r="I38" s="7">
        <f>I19/POWER(($H19^2+$I19^2+$J19^2+$K19^2+$L19^2), 0.5)</f>
        <v>0.5121475197315839</v>
      </c>
      <c r="J38" s="7">
        <f>J19/POWER(($H19^2+$I19^2+$J19^2+$K19^2+$L19^2), 0.5)</f>
        <v>0.38411063979868793</v>
      </c>
      <c r="K38" s="7">
        <f>K19/POWER(($H19^2+$I19^2+$J19^2+$K19^2+$L19^2), 0.5)</f>
        <v>0.5121475197315839</v>
      </c>
      <c r="L38" s="7">
        <f>L19/POWER(($H19^2+$I19^2+$J19^2+$K19^2+$L19^2), 0.5)</f>
        <v>0.5121475197315839</v>
      </c>
    </row>
    <row r="42" spans="7:19">
      <c r="G42" s="1" t="s">
        <v>1</v>
      </c>
    </row>
    <row r="43" spans="7:19">
      <c r="G43" s="34"/>
      <c r="H43" s="7" t="s">
        <v>6</v>
      </c>
      <c r="I43" s="7" t="s">
        <v>7</v>
      </c>
      <c r="J43" s="7" t="s">
        <v>8</v>
      </c>
      <c r="K43" s="7" t="s">
        <v>9</v>
      </c>
      <c r="L43" s="7" t="s">
        <v>10</v>
      </c>
    </row>
    <row r="44" spans="7:19">
      <c r="G44" s="7" t="s">
        <v>16</v>
      </c>
      <c r="H44" s="7">
        <f>H25*$D6</f>
        <v>0</v>
      </c>
      <c r="I44" s="7">
        <f t="shared" ref="I44:L44" si="2">I25*$D6</f>
        <v>1.6035674514745465E-2</v>
      </c>
      <c r="J44" s="7">
        <f t="shared" si="2"/>
        <v>2.4053511772118195E-2</v>
      </c>
      <c r="K44" s="7">
        <f t="shared" si="2"/>
        <v>0</v>
      </c>
      <c r="L44" s="7">
        <f t="shared" si="2"/>
        <v>8.0178372573727324E-3</v>
      </c>
    </row>
    <row r="45" spans="7:19">
      <c r="G45" s="7" t="s">
        <v>18</v>
      </c>
      <c r="H45" s="7">
        <f t="shared" ref="H45:L57" si="3">H26*$D7</f>
        <v>0</v>
      </c>
      <c r="I45" s="7">
        <f t="shared" si="3"/>
        <v>2.8284271247461898E-2</v>
      </c>
      <c r="J45" s="7">
        <f t="shared" si="3"/>
        <v>0</v>
      </c>
      <c r="K45" s="7">
        <f t="shared" si="3"/>
        <v>0</v>
      </c>
      <c r="L45" s="7">
        <f t="shared" si="3"/>
        <v>2.8284271247461898E-2</v>
      </c>
    </row>
    <row r="46" spans="7:19">
      <c r="G46" s="7" t="s">
        <v>22</v>
      </c>
      <c r="H46" s="7">
        <f>H27*$D8</f>
        <v>8.2807867121082498E-2</v>
      </c>
      <c r="I46" s="7">
        <f t="shared" si="3"/>
        <v>6.210590034081187E-2</v>
      </c>
      <c r="J46" s="7">
        <f t="shared" si="3"/>
        <v>7.2456883730947191E-2</v>
      </c>
      <c r="K46" s="7">
        <f t="shared" si="3"/>
        <v>5.1754916950676556E-2</v>
      </c>
      <c r="L46" s="7">
        <f t="shared" si="3"/>
        <v>6.210590034081187E-2</v>
      </c>
    </row>
    <row r="47" spans="7:19">
      <c r="G47" s="7" t="s">
        <v>24</v>
      </c>
      <c r="H47" s="7">
        <f>H28*$D9</f>
        <v>5.2106448422562006E-2</v>
      </c>
      <c r="I47" s="7">
        <f>I28*$D9</f>
        <v>5.9550226768642293E-2</v>
      </c>
      <c r="J47" s="7">
        <f t="shared" si="3"/>
        <v>5.9550226768642293E-2</v>
      </c>
      <c r="K47" s="7">
        <f t="shared" si="3"/>
        <v>5.9550226768642293E-2</v>
      </c>
      <c r="L47" s="7">
        <f t="shared" si="3"/>
        <v>5.9550226768642293E-2</v>
      </c>
    </row>
    <row r="48" spans="7:19">
      <c r="G48" s="7" t="s">
        <v>26</v>
      </c>
      <c r="H48" s="7">
        <f t="shared" si="3"/>
        <v>6.1588176205143966E-2</v>
      </c>
      <c r="I48" s="7">
        <f t="shared" si="3"/>
        <v>4.9270540964115171E-2</v>
      </c>
      <c r="J48" s="7">
        <f t="shared" si="3"/>
        <v>5.5429358584629572E-2</v>
      </c>
      <c r="K48" s="7">
        <f t="shared" si="3"/>
        <v>3.0794088102571983E-2</v>
      </c>
      <c r="L48" s="7">
        <f>L29*$D10</f>
        <v>4.3111723343600777E-2</v>
      </c>
    </row>
    <row r="49" spans="7:12">
      <c r="G49" s="7" t="s">
        <v>29</v>
      </c>
      <c r="H49" s="7">
        <f t="shared" si="3"/>
        <v>3.4999999999999996E-2</v>
      </c>
      <c r="I49" s="7">
        <f t="shared" si="3"/>
        <v>3.9999999999999994E-2</v>
      </c>
      <c r="J49" s="7">
        <f t="shared" si="3"/>
        <v>4.4999999999999998E-2</v>
      </c>
      <c r="K49" s="7">
        <f t="shared" si="3"/>
        <v>4.4999999999999998E-2</v>
      </c>
      <c r="L49" s="7">
        <f t="shared" si="3"/>
        <v>3.4999999999999996E-2</v>
      </c>
    </row>
    <row r="50" spans="7:12">
      <c r="G50" s="7" t="s">
        <v>31</v>
      </c>
      <c r="H50" s="7">
        <f t="shared" si="3"/>
        <v>1.8823529411764708E-2</v>
      </c>
      <c r="I50" s="7">
        <f t="shared" si="3"/>
        <v>3.7647058823529415E-2</v>
      </c>
      <c r="J50" s="7">
        <f t="shared" si="3"/>
        <v>3.7647058823529415E-2</v>
      </c>
      <c r="K50" s="7">
        <f t="shared" si="3"/>
        <v>3.7647058823529415E-2</v>
      </c>
      <c r="L50" s="7">
        <f t="shared" si="3"/>
        <v>4.2352941176470586E-2</v>
      </c>
    </row>
    <row r="51" spans="7:12">
      <c r="G51" s="7" t="s">
        <v>34</v>
      </c>
      <c r="H51" s="7">
        <f t="shared" si="3"/>
        <v>1.8323146698043781E-2</v>
      </c>
      <c r="I51" s="7">
        <f t="shared" si="3"/>
        <v>1.6032753360788309E-2</v>
      </c>
      <c r="J51" s="7">
        <f t="shared" si="3"/>
        <v>1.8323146698043781E-2</v>
      </c>
      <c r="K51" s="7">
        <f t="shared" si="3"/>
        <v>1.8323146698043781E-2</v>
      </c>
      <c r="L51" s="7">
        <f t="shared" si="3"/>
        <v>1.8323146698043781E-2</v>
      </c>
    </row>
    <row r="52" spans="7:12">
      <c r="G52" s="7" t="s">
        <v>36</v>
      </c>
      <c r="H52" s="7">
        <f t="shared" si="3"/>
        <v>1.8276230972405143E-2</v>
      </c>
      <c r="I52" s="7">
        <f t="shared" si="3"/>
        <v>1.8276230972405143E-2</v>
      </c>
      <c r="J52" s="7">
        <f t="shared" si="3"/>
        <v>1.6245538642137906E-2</v>
      </c>
      <c r="K52" s="7">
        <f t="shared" si="3"/>
        <v>1.8276230972405143E-2</v>
      </c>
      <c r="L52" s="7">
        <f t="shared" si="3"/>
        <v>1.8276230972405143E-2</v>
      </c>
    </row>
    <row r="53" spans="7:12">
      <c r="G53" s="7" t="s">
        <v>38</v>
      </c>
      <c r="H53" s="7">
        <f t="shared" si="3"/>
        <v>2.8213824634343933E-2</v>
      </c>
      <c r="I53" s="7">
        <f t="shared" si="3"/>
        <v>2.1160368475757949E-2</v>
      </c>
      <c r="J53" s="7">
        <f t="shared" si="3"/>
        <v>2.4687096555050941E-2</v>
      </c>
      <c r="K53" s="7">
        <f t="shared" si="3"/>
        <v>2.1160368475757949E-2</v>
      </c>
      <c r="L53" s="7">
        <f t="shared" si="3"/>
        <v>1.4106912317171967E-2</v>
      </c>
    </row>
    <row r="54" spans="7:12">
      <c r="G54" s="7" t="s">
        <v>41</v>
      </c>
      <c r="H54" s="7">
        <f t="shared" si="3"/>
        <v>1.4117647058823528E-2</v>
      </c>
      <c r="I54" s="7">
        <f t="shared" si="3"/>
        <v>2.8235294117647056E-2</v>
      </c>
      <c r="J54" s="7">
        <f t="shared" si="3"/>
        <v>2.8235294117647056E-2</v>
      </c>
      <c r="K54" s="7">
        <f t="shared" si="3"/>
        <v>2.8235294117647056E-2</v>
      </c>
      <c r="L54" s="7">
        <f t="shared" si="3"/>
        <v>3.1764705882352938E-2</v>
      </c>
    </row>
    <row r="55" spans="7:12">
      <c r="G55" s="7" t="s">
        <v>43</v>
      </c>
      <c r="H55" s="7">
        <f t="shared" si="3"/>
        <v>2.8982753492378874E-2</v>
      </c>
      <c r="I55" s="7">
        <f t="shared" si="3"/>
        <v>3.3123146848433004E-2</v>
      </c>
      <c r="J55" s="7">
        <f t="shared" si="3"/>
        <v>2.4842360136324751E-2</v>
      </c>
      <c r="K55" s="7">
        <f t="shared" si="3"/>
        <v>2.4842360136324751E-2</v>
      </c>
      <c r="L55" s="7">
        <f t="shared" si="3"/>
        <v>2.0701966780270625E-2</v>
      </c>
    </row>
    <row r="56" spans="7:12">
      <c r="G56" s="7" t="s">
        <v>45</v>
      </c>
      <c r="H56" s="7">
        <f t="shared" si="3"/>
        <v>3.2065506721576618E-2</v>
      </c>
      <c r="I56" s="7">
        <f t="shared" si="3"/>
        <v>2.8057318381379544E-2</v>
      </c>
      <c r="J56" s="7">
        <f t="shared" si="3"/>
        <v>3.2065506721576618E-2</v>
      </c>
      <c r="K56" s="7">
        <f t="shared" si="3"/>
        <v>3.2065506721576618E-2</v>
      </c>
      <c r="L56" s="7">
        <f t="shared" si="3"/>
        <v>3.2065506721576618E-2</v>
      </c>
    </row>
    <row r="57" spans="7:12">
      <c r="G57" s="7" t="s">
        <v>47</v>
      </c>
      <c r="H57" s="7">
        <f t="shared" si="3"/>
        <v>1.2803687993289598E-2</v>
      </c>
      <c r="I57" s="7">
        <f t="shared" si="3"/>
        <v>2.5607375986579195E-2</v>
      </c>
      <c r="J57" s="7">
        <f t="shared" si="3"/>
        <v>1.9205531989934396E-2</v>
      </c>
      <c r="K57" s="7">
        <f t="shared" si="3"/>
        <v>2.5607375986579195E-2</v>
      </c>
      <c r="L57" s="7">
        <f t="shared" si="3"/>
        <v>2.5607375986579195E-2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B052-ABCC-4827-87C0-BFBA72219115}">
  <dimension ref="B4:S57"/>
  <sheetViews>
    <sheetView topLeftCell="B3" zoomScale="64" workbookViewId="0">
      <selection activeCell="D26" sqref="D26"/>
    </sheetView>
  </sheetViews>
  <sheetFormatPr defaultRowHeight="15"/>
  <cols>
    <col min="2" max="2" width="21.85546875" customWidth="1"/>
    <col min="3" max="3" width="29" customWidth="1"/>
    <col min="7" max="7" width="13" customWidth="1"/>
    <col min="8" max="8" width="23" customWidth="1"/>
    <col min="9" max="9" width="16.28515625" customWidth="1"/>
    <col min="10" max="10" width="16" customWidth="1"/>
    <col min="11" max="11" width="14.7109375" customWidth="1"/>
    <col min="12" max="12" width="15.5703125" customWidth="1"/>
    <col min="14" max="14" width="13.140625" customWidth="1"/>
    <col min="15" max="15" width="20.42578125" customWidth="1"/>
    <col min="16" max="16" width="18.42578125" customWidth="1"/>
    <col min="17" max="17" width="17.42578125" customWidth="1"/>
    <col min="18" max="18" width="14.7109375" customWidth="1"/>
    <col min="19" max="19" width="16.85546875" customWidth="1"/>
  </cols>
  <sheetData>
    <row r="4" spans="2:16">
      <c r="B4" s="1" t="s">
        <v>0</v>
      </c>
      <c r="G4" s="1" t="s">
        <v>1</v>
      </c>
      <c r="N4" s="1" t="s">
        <v>2</v>
      </c>
    </row>
    <row r="5" spans="2:16">
      <c r="B5" s="9" t="s">
        <v>3</v>
      </c>
      <c r="C5" s="11" t="s">
        <v>4</v>
      </c>
      <c r="D5" s="7" t="s">
        <v>5</v>
      </c>
      <c r="E5" s="8"/>
      <c r="G5" s="40" t="s">
        <v>52</v>
      </c>
      <c r="H5" s="6" t="s">
        <v>53</v>
      </c>
      <c r="I5" s="10" t="s">
        <v>54</v>
      </c>
      <c r="J5" s="12" t="s">
        <v>55</v>
      </c>
      <c r="K5" s="13" t="s">
        <v>56</v>
      </c>
      <c r="L5" s="24" t="s">
        <v>57</v>
      </c>
      <c r="N5" s="3"/>
      <c r="O5" s="5" t="s">
        <v>11</v>
      </c>
      <c r="P5" s="5" t="s">
        <v>12</v>
      </c>
    </row>
    <row r="6" spans="2:16">
      <c r="B6" s="25" t="s">
        <v>13</v>
      </c>
      <c r="C6" s="26" t="s">
        <v>14</v>
      </c>
      <c r="D6" s="27">
        <v>0.03</v>
      </c>
      <c r="E6" s="27" t="s">
        <v>15</v>
      </c>
      <c r="G6" s="35" t="s">
        <v>16</v>
      </c>
      <c r="H6" s="65">
        <v>1</v>
      </c>
      <c r="I6" s="65">
        <v>2</v>
      </c>
      <c r="J6" s="65">
        <v>1</v>
      </c>
      <c r="K6" s="69">
        <v>0</v>
      </c>
      <c r="L6" s="65">
        <v>2</v>
      </c>
      <c r="N6" s="2" t="s">
        <v>16</v>
      </c>
      <c r="O6" s="4">
        <f>MIN(H44:L44)</f>
        <v>0</v>
      </c>
      <c r="P6" s="4">
        <f>MAX(H44:L44)</f>
        <v>1.8973665961010275E-2</v>
      </c>
    </row>
    <row r="7" spans="2:16">
      <c r="B7" s="28"/>
      <c r="C7" s="29" t="s">
        <v>17</v>
      </c>
      <c r="D7" s="27">
        <v>0.04</v>
      </c>
      <c r="E7" s="27" t="s">
        <v>15</v>
      </c>
      <c r="G7" s="35" t="s">
        <v>18</v>
      </c>
      <c r="H7" s="69">
        <v>0</v>
      </c>
      <c r="I7" s="65">
        <v>1</v>
      </c>
      <c r="J7" s="69">
        <v>0</v>
      </c>
      <c r="K7" s="69">
        <v>0</v>
      </c>
      <c r="L7" s="65">
        <v>1</v>
      </c>
      <c r="N7" s="2" t="s">
        <v>18</v>
      </c>
      <c r="O7" s="4">
        <f>MIN(H45:L45)</f>
        <v>0</v>
      </c>
      <c r="P7" s="4">
        <f>MAX(H45:L45)</f>
        <v>2.8284271247461898E-2</v>
      </c>
    </row>
    <row r="8" spans="2:16">
      <c r="B8" s="14" t="s">
        <v>19</v>
      </c>
      <c r="C8" s="15" t="s">
        <v>20</v>
      </c>
      <c r="D8" s="30">
        <v>0.15</v>
      </c>
      <c r="E8" s="30" t="s">
        <v>21</v>
      </c>
      <c r="G8" s="36" t="s">
        <v>22</v>
      </c>
      <c r="H8" s="65">
        <v>70</v>
      </c>
      <c r="I8" s="65">
        <v>70</v>
      </c>
      <c r="J8" s="65">
        <v>80</v>
      </c>
      <c r="K8" s="65">
        <v>60</v>
      </c>
      <c r="L8" s="65">
        <v>70</v>
      </c>
      <c r="N8" s="2" t="s">
        <v>22</v>
      </c>
      <c r="O8" s="4">
        <f t="shared" ref="O7:O19" si="0">MAX(H46:L46)</f>
        <v>7.6354171557093328E-2</v>
      </c>
      <c r="P8" s="4">
        <f t="shared" ref="P7:P19" si="1">MIN(H46:L46)</f>
        <v>5.7265628667819993E-2</v>
      </c>
    </row>
    <row r="9" spans="2:16">
      <c r="B9" s="14"/>
      <c r="C9" s="15" t="s">
        <v>23</v>
      </c>
      <c r="D9" s="30">
        <v>0.13</v>
      </c>
      <c r="E9" s="30" t="s">
        <v>21</v>
      </c>
      <c r="G9" s="36" t="s">
        <v>24</v>
      </c>
      <c r="H9" s="65">
        <v>80</v>
      </c>
      <c r="I9" s="65">
        <v>90</v>
      </c>
      <c r="J9" s="65">
        <v>80</v>
      </c>
      <c r="K9" s="65">
        <v>70</v>
      </c>
      <c r="L9" s="65">
        <v>80</v>
      </c>
      <c r="N9" s="2" t="s">
        <v>24</v>
      </c>
      <c r="O9" s="4">
        <f t="shared" si="0"/>
        <v>6.520155087131628E-2</v>
      </c>
      <c r="P9" s="4">
        <f t="shared" si="1"/>
        <v>5.0712317344357105E-2</v>
      </c>
    </row>
    <row r="10" spans="2:16">
      <c r="B10" s="14"/>
      <c r="C10" s="15" t="s">
        <v>25</v>
      </c>
      <c r="D10" s="30">
        <v>0.11</v>
      </c>
      <c r="E10" s="30" t="s">
        <v>21</v>
      </c>
      <c r="G10" s="36" t="s">
        <v>26</v>
      </c>
      <c r="H10" s="65">
        <v>90</v>
      </c>
      <c r="I10" s="65">
        <v>90</v>
      </c>
      <c r="J10" s="65">
        <v>100</v>
      </c>
      <c r="K10" s="65">
        <v>60</v>
      </c>
      <c r="L10" s="65">
        <v>80</v>
      </c>
      <c r="N10" s="2" t="s">
        <v>26</v>
      </c>
      <c r="O10" s="4">
        <f t="shared" si="0"/>
        <v>5.7814716435040041E-2</v>
      </c>
      <c r="P10" s="4">
        <f t="shared" si="1"/>
        <v>3.468882986102402E-2</v>
      </c>
    </row>
    <row r="11" spans="2:16">
      <c r="B11" s="16" t="s">
        <v>27</v>
      </c>
      <c r="C11" s="17" t="s">
        <v>28</v>
      </c>
      <c r="D11" s="31">
        <v>0.09</v>
      </c>
      <c r="E11" s="31" t="s">
        <v>21</v>
      </c>
      <c r="G11" s="37" t="s">
        <v>29</v>
      </c>
      <c r="H11" s="65">
        <v>80</v>
      </c>
      <c r="I11" s="65">
        <v>90</v>
      </c>
      <c r="J11" s="65">
        <v>80</v>
      </c>
      <c r="K11" s="65">
        <v>80</v>
      </c>
      <c r="L11" s="65">
        <v>80</v>
      </c>
      <c r="N11" s="2" t="s">
        <v>29</v>
      </c>
      <c r="O11" s="4">
        <f t="shared" si="0"/>
        <v>4.4123511566930305E-2</v>
      </c>
      <c r="P11" s="4">
        <f t="shared" si="1"/>
        <v>3.9220899170604714E-2</v>
      </c>
    </row>
    <row r="12" spans="2:16">
      <c r="B12" s="16"/>
      <c r="C12" s="17" t="s">
        <v>30</v>
      </c>
      <c r="D12" s="31">
        <v>0.08</v>
      </c>
      <c r="E12" s="31" t="s">
        <v>21</v>
      </c>
      <c r="G12" s="37" t="s">
        <v>31</v>
      </c>
      <c r="H12" s="65">
        <v>50</v>
      </c>
      <c r="I12" s="65">
        <v>70</v>
      </c>
      <c r="J12" s="65">
        <v>90</v>
      </c>
      <c r="K12" s="65">
        <v>70</v>
      </c>
      <c r="L12" s="65">
        <v>80</v>
      </c>
      <c r="N12" s="2" t="s">
        <v>31</v>
      </c>
      <c r="O12" s="4">
        <f t="shared" si="0"/>
        <v>4.3980999968269881E-2</v>
      </c>
      <c r="P12" s="4">
        <f t="shared" si="1"/>
        <v>2.4433888871261047E-2</v>
      </c>
    </row>
    <row r="13" spans="2:16">
      <c r="B13" s="18" t="s">
        <v>32</v>
      </c>
      <c r="C13" s="19" t="s">
        <v>33</v>
      </c>
      <c r="D13" s="32">
        <v>0.04</v>
      </c>
      <c r="E13" s="32" t="s">
        <v>21</v>
      </c>
      <c r="G13" s="38" t="s">
        <v>34</v>
      </c>
      <c r="H13" s="65">
        <v>70</v>
      </c>
      <c r="I13" s="65">
        <v>80</v>
      </c>
      <c r="J13" s="65">
        <v>90</v>
      </c>
      <c r="K13" s="65">
        <v>80</v>
      </c>
      <c r="L13" s="65">
        <v>70</v>
      </c>
      <c r="N13" s="2" t="s">
        <v>34</v>
      </c>
      <c r="O13" s="4">
        <f t="shared" si="0"/>
        <v>2.0546285239272585E-2</v>
      </c>
      <c r="P13" s="4">
        <f t="shared" si="1"/>
        <v>1.5980444074989792E-2</v>
      </c>
    </row>
    <row r="14" spans="2:16">
      <c r="B14" s="18"/>
      <c r="C14" s="19" t="s">
        <v>35</v>
      </c>
      <c r="D14" s="32">
        <v>0.04</v>
      </c>
      <c r="E14" s="32" t="s">
        <v>21</v>
      </c>
      <c r="G14" s="38" t="s">
        <v>36</v>
      </c>
      <c r="H14" s="65">
        <v>80</v>
      </c>
      <c r="I14" s="65">
        <v>100</v>
      </c>
      <c r="J14" s="65">
        <v>90</v>
      </c>
      <c r="K14" s="65">
        <v>90</v>
      </c>
      <c r="L14" s="65">
        <v>80</v>
      </c>
      <c r="N14" s="2" t="s">
        <v>36</v>
      </c>
      <c r="O14" s="4">
        <f t="shared" si="0"/>
        <v>2.0254787341673332E-2</v>
      </c>
      <c r="P14" s="4">
        <f t="shared" si="1"/>
        <v>1.6203829873338668E-2</v>
      </c>
    </row>
    <row r="15" spans="2:16">
      <c r="B15" s="18"/>
      <c r="C15" s="19" t="s">
        <v>37</v>
      </c>
      <c r="D15" s="32">
        <v>0.05</v>
      </c>
      <c r="E15" s="32" t="s">
        <v>21</v>
      </c>
      <c r="G15" s="38" t="s">
        <v>38</v>
      </c>
      <c r="H15" s="65">
        <v>70</v>
      </c>
      <c r="I15" s="65">
        <v>90</v>
      </c>
      <c r="J15" s="65">
        <v>80</v>
      </c>
      <c r="K15" s="65">
        <v>80</v>
      </c>
      <c r="L15" s="65">
        <v>70</v>
      </c>
      <c r="N15" s="2" t="s">
        <v>38</v>
      </c>
      <c r="O15" s="4">
        <f t="shared" si="0"/>
        <v>2.5682856549090735E-2</v>
      </c>
      <c r="P15" s="4">
        <f t="shared" si="1"/>
        <v>1.9975555093737239E-2</v>
      </c>
    </row>
    <row r="16" spans="2:16">
      <c r="B16" s="20" t="s">
        <v>39</v>
      </c>
      <c r="C16" s="21" t="s">
        <v>40</v>
      </c>
      <c r="D16" s="33">
        <v>0.06</v>
      </c>
      <c r="E16" s="33" t="s">
        <v>21</v>
      </c>
      <c r="G16" s="39" t="s">
        <v>41</v>
      </c>
      <c r="H16" s="65">
        <v>50</v>
      </c>
      <c r="I16" s="65">
        <v>70</v>
      </c>
      <c r="J16" s="65">
        <v>80</v>
      </c>
      <c r="K16" s="65">
        <v>70</v>
      </c>
      <c r="L16" s="65">
        <v>50</v>
      </c>
      <c r="N16" s="2" t="s">
        <v>41</v>
      </c>
      <c r="O16" s="4">
        <f t="shared" si="0"/>
        <v>3.2966535347685358E-2</v>
      </c>
      <c r="P16" s="4">
        <f t="shared" si="1"/>
        <v>2.060408459230335E-2</v>
      </c>
    </row>
    <row r="17" spans="2:16">
      <c r="B17" s="20"/>
      <c r="C17" s="21" t="s">
        <v>42</v>
      </c>
      <c r="D17" s="33">
        <v>0.06</v>
      </c>
      <c r="E17" s="33" t="s">
        <v>21</v>
      </c>
      <c r="G17" s="39" t="s">
        <v>43</v>
      </c>
      <c r="H17" s="65">
        <v>80</v>
      </c>
      <c r="I17" s="65">
        <v>90</v>
      </c>
      <c r="J17" s="65">
        <v>80</v>
      </c>
      <c r="K17" s="65">
        <v>70</v>
      </c>
      <c r="L17" s="65">
        <v>60</v>
      </c>
      <c r="N17" s="2" t="s">
        <v>43</v>
      </c>
      <c r="O17" s="4">
        <f t="shared" si="0"/>
        <v>3.1493439550069433E-2</v>
      </c>
      <c r="P17" s="4">
        <f t="shared" si="1"/>
        <v>2.0995626366712955E-2</v>
      </c>
    </row>
    <row r="18" spans="2:16">
      <c r="B18" s="20"/>
      <c r="C18" s="21" t="s">
        <v>44</v>
      </c>
      <c r="D18" s="33">
        <v>7.0000000000000007E-2</v>
      </c>
      <c r="E18" s="33" t="s">
        <v>21</v>
      </c>
      <c r="G18" s="39" t="s">
        <v>45</v>
      </c>
      <c r="H18" s="65">
        <v>70</v>
      </c>
      <c r="I18" s="65">
        <v>80</v>
      </c>
      <c r="J18" s="65">
        <v>80</v>
      </c>
      <c r="K18" s="65">
        <v>90</v>
      </c>
      <c r="L18" s="65">
        <v>80</v>
      </c>
      <c r="N18" s="2" t="s">
        <v>45</v>
      </c>
      <c r="O18" s="4">
        <f t="shared" si="0"/>
        <v>3.5108527392247228E-2</v>
      </c>
      <c r="P18" s="4">
        <f t="shared" si="1"/>
        <v>2.730663241619229E-2</v>
      </c>
    </row>
    <row r="19" spans="2:16">
      <c r="B19" s="22"/>
      <c r="C19" s="23" t="s">
        <v>46</v>
      </c>
      <c r="D19" s="33">
        <v>0.05</v>
      </c>
      <c r="E19" s="33" t="s">
        <v>21</v>
      </c>
      <c r="G19" s="39" t="s">
        <v>47</v>
      </c>
      <c r="H19" s="65">
        <v>50</v>
      </c>
      <c r="I19" s="65">
        <v>90</v>
      </c>
      <c r="J19" s="65">
        <v>80</v>
      </c>
      <c r="K19" s="65">
        <v>80</v>
      </c>
      <c r="L19" s="65">
        <v>70</v>
      </c>
      <c r="N19" s="2" t="s">
        <v>47</v>
      </c>
      <c r="O19" s="4">
        <f t="shared" si="0"/>
        <v>2.6749723422499386E-2</v>
      </c>
      <c r="P19" s="4">
        <f t="shared" si="1"/>
        <v>1.4860957456944102E-2</v>
      </c>
    </row>
    <row r="23" spans="2:16">
      <c r="G23" s="1" t="s">
        <v>48</v>
      </c>
      <c r="N23" s="1" t="s">
        <v>49</v>
      </c>
    </row>
    <row r="24" spans="2:16" ht="14.45">
      <c r="G24" s="34"/>
      <c r="H24" s="7" t="s">
        <v>6</v>
      </c>
      <c r="I24" s="7" t="s">
        <v>7</v>
      </c>
      <c r="J24" s="7" t="s">
        <v>8</v>
      </c>
      <c r="K24" s="7" t="s">
        <v>9</v>
      </c>
      <c r="L24" s="7" t="s">
        <v>10</v>
      </c>
      <c r="N24" s="41"/>
      <c r="O24" s="8"/>
      <c r="P24" s="8"/>
    </row>
    <row r="25" spans="2:16" ht="14.45">
      <c r="G25" s="7" t="s">
        <v>16</v>
      </c>
      <c r="H25" s="7">
        <f>H6/POWER(($H6^2+$I6^2+$J6^2+$K6^2+$L6^2), 0.5)</f>
        <v>0.31622776601683794</v>
      </c>
      <c r="I25" s="7">
        <f>I6/POWER(($H6^2+$I6^2+$J6^2+$K6^2+$L6^2), 0.5)</f>
        <v>0.63245553203367588</v>
      </c>
      <c r="J25" s="7">
        <f>J6/POWER(($H6^2+$I6^2+$J6^2+$K6^2+$L6^2), 0.5)</f>
        <v>0.31622776601683794</v>
      </c>
      <c r="K25" s="7">
        <f>K6/POWER(($H6^2+$I6^2+$J6^2+$K6^2+$L6^2), 0.5)</f>
        <v>0</v>
      </c>
      <c r="L25" s="7">
        <f>L6/POWER(($H6^2+$I6^2+$J6^2+$K6^2+$L6^2), 0.5)</f>
        <v>0.63245553203367588</v>
      </c>
      <c r="N25" s="8" t="s">
        <v>6</v>
      </c>
      <c r="O25" s="8">
        <f>POWER(((O6-H25)^2+(O7-H26)^2+(O8-H27)^2+(O9-H28)^2+(O10-H29)^2+(O11-H30)^2+(O12-H31)^2+(O13-H32)^2+(O14-H33)^2+(O15-H34)^2+(O16-H35)^2+(O17-H36)^2+(O18-H37)^2+(O19-H38)^2),0.5)</f>
        <v>1.3005835170947069</v>
      </c>
      <c r="P25" s="8">
        <f>POWER(((H25-P6)^2+(H26-P7)^2+(H27-P8)^2+(H28-P9)^2+(H29-P10)^2+(H30-P11)^2+(H31-P12)^2+(H32-P13)^2+(H33-P14)^2+(H34-P15)^2+(H35-P16)^2+(H36-P17)^2+(H37-P18)^2+(H38-P19)^2),0.5)</f>
        <v>1.33444309940397</v>
      </c>
    </row>
    <row r="26" spans="2:16" ht="14.45">
      <c r="G26" s="7" t="s">
        <v>18</v>
      </c>
      <c r="H26" s="7">
        <f>H7/POWER(($H7^2+$I7^2+$J7^2+$K7^2+$L7^2), 0.5)</f>
        <v>0</v>
      </c>
      <c r="I26" s="7">
        <f>I7/POWER(($H7^2+$I7^2+$J7^2+$K7^2+$L7^2), 0.5)</f>
        <v>0.70710678118654746</v>
      </c>
      <c r="J26" s="7">
        <f>J7/POWER(($H7^2+$I7^2+$J7^2+$K7^2+$L7^2), 0.5)</f>
        <v>0</v>
      </c>
      <c r="K26" s="7">
        <f>K7/POWER(($H7^2+$I7^2+$J7^2+$K7^2+$L7^2), 0.5)</f>
        <v>0</v>
      </c>
      <c r="L26" s="7">
        <f>L7/POWER(($H7^2+$I7^2+$J7^2+$K7^2+$L7^2), 0.5)</f>
        <v>0.70710678118654746</v>
      </c>
      <c r="N26" s="8" t="s">
        <v>7</v>
      </c>
      <c r="O26" s="8">
        <f>POWER(((O6-I25)^2+(O7-I26)^2+(O8-I27)^2+(O9-I28)^2+(O10-I29)^2+(O11-I30)^2+(O12-I31)^2+(O13-I32)^2+(O14-I33)^2+(O15-I34)^2+(O16-I35)^2+(O17-I36)^2+(O18-I37)^2+(O19-I38)^2),0.5)</f>
        <v>1.8112732898706536</v>
      </c>
      <c r="P26" s="8">
        <f>POWER(((I25-P6)^2+(I26-P7)^2+(I27-P8)^2+(I28-P9)^2+(I29-P10)^2+(I30-P11)^2+(I31-P12)^2+(I32-P13)^2+(I33-P14)^2+(I34-P15)^2+(I35-P16)^2+(I36-P17)^2+(I37-P18)^2+(I38-P19)^2),0.5)</f>
        <v>1.8271961008064941</v>
      </c>
    </row>
    <row r="27" spans="2:16" ht="14.45">
      <c r="G27" s="7" t="s">
        <v>22</v>
      </c>
      <c r="H27" s="7">
        <f>H8/POWER(($H8^2+$I8^2+$J8^2+$K8^2+$L8^2), 0.5)</f>
        <v>0.44539933408304444</v>
      </c>
      <c r="I27" s="7">
        <f>I8/POWER(($H8^2+$I8^2+$J8^2+$K8^2+$L8^2), 0.5)</f>
        <v>0.44539933408304444</v>
      </c>
      <c r="J27" s="7">
        <f>J8/POWER(($H8^2+$I8^2+$J8^2+$K8^2+$L8^2), 0.5)</f>
        <v>0.50902781038062217</v>
      </c>
      <c r="K27" s="7">
        <f>K8/POWER(($H8^2+$I8^2+$J8^2+$K8^2+$L8^2), 0.5)</f>
        <v>0.38177085778546666</v>
      </c>
      <c r="L27" s="7">
        <f>L8/POWER(($H8^2+$I8^2+$J8^2+$K8^2+$L8^2), 0.5)</f>
        <v>0.44539933408304444</v>
      </c>
      <c r="N27" s="8" t="s">
        <v>8</v>
      </c>
      <c r="O27" s="8">
        <f>POWER(((O6-J25)^2+(O7-J26)^2+(O8-J27)^2+(O9-J28)^2+(O10-J29)^2+(O11-J30)^2+(O12-J31)^2+(O13-J32)^2+(O14-J33)^2+(O15-J34)^2+(O16-J35)^2+(O17-J36)^2+(O18-J37)^2+(O19-J38)^2),0.5)</f>
        <v>1.5826334536007922</v>
      </c>
      <c r="P27" s="8">
        <f>POWER(((J25-P6)^2+(J26-P7)^2+(J27-P8)^2+(J28-P9)^2+(J29-P10)^2+(J30-P11)^2+(J31-P12)^2+(J32-P13)^2+(J33-P14)^2+(J34-P15)^2+(J35-P16)^2+(J36-P17)^2+(J37-P18)^2+(J38-P19)^2),0.5)</f>
        <v>1.6188483968258387</v>
      </c>
    </row>
    <row r="28" spans="2:16" ht="14.45">
      <c r="G28" s="7" t="s">
        <v>24</v>
      </c>
      <c r="H28" s="7">
        <f>H9/POWER(($H9^2+$I9^2+$J9^2+$K9^2+$L9^2), 0.5)</f>
        <v>0.44582257006028231</v>
      </c>
      <c r="I28" s="7">
        <f>I9/POWER(($H9^2+$I9^2+$J9^2+$K9^2+$L9^2), 0.5)</f>
        <v>0.50155039131781753</v>
      </c>
      <c r="J28" s="7">
        <f>J9/POWER(($H9^2+$I9^2+$J9^2+$K9^2+$L9^2), 0.5)</f>
        <v>0.44582257006028231</v>
      </c>
      <c r="K28" s="7">
        <f>K9/POWER(($H9^2+$I9^2+$J9^2+$K9^2+$L9^2), 0.5)</f>
        <v>0.39009474880274697</v>
      </c>
      <c r="L28" s="7">
        <f>L9/POWER(($H9^2+$I9^2+$J9^2+$K9^2+$L9^2), 0.5)</f>
        <v>0.44582257006028231</v>
      </c>
      <c r="N28" s="8" t="s">
        <v>9</v>
      </c>
      <c r="O28" s="8">
        <f>POWER(((O6-K25)^2+(O7-K26)^2+(O8-K27)^2+(O9-K28)^2+(O10-K29)^2+(O11-K30)^2+(O12-K31)^2+(O13-K32)^2+(O14-K33)^2+(O15-K34)^2+(O16-K35)^2+(O17-K36)^2+(O18-K37)^2+(O19-K38)^2),0.5)</f>
        <v>1.3757256871366568</v>
      </c>
      <c r="P28" s="8">
        <f>POWER(((K25-P6)^2+(K26-P7)^2+(K27-P8)^2+(K28-P9)^2+(K29-P10)^2+(K30-P11)^2+(K31-P12)^2+(K32-P13)^2+(K33-P14)^2+(K34-P15)^2+(K35-P16)^2+(K36-P17)^2+(K37-P18)^2+(K38-P19)^2),0.5)</f>
        <v>1.4131579375766283</v>
      </c>
    </row>
    <row r="29" spans="2:16" ht="14.45">
      <c r="G29" s="7" t="s">
        <v>26</v>
      </c>
      <c r="H29" s="7">
        <f>H10/POWER(($H10^2+$I10^2+$J10^2+$K10^2+$L10^2), 0.5)</f>
        <v>0.47302949810487305</v>
      </c>
      <c r="I29" s="7">
        <f>I10/POWER(($H10^2+$I10^2+$J10^2+$K10^2+$L10^2), 0.5)</f>
        <v>0.47302949810487305</v>
      </c>
      <c r="J29" s="7">
        <f>J10/POWER(($H10^2+$I10^2+$J10^2+$K10^2+$L10^2), 0.5)</f>
        <v>0.52558833122763671</v>
      </c>
      <c r="K29" s="7">
        <f>K10/POWER(($H10^2+$I10^2+$J10^2+$K10^2+$L10^2), 0.5)</f>
        <v>0.31535299873658201</v>
      </c>
      <c r="L29" s="7">
        <f>L10/POWER(($H10^2+$I10^2+$J10^2+$K10^2+$L10^2), 0.5)</f>
        <v>0.42047066498210939</v>
      </c>
      <c r="N29" s="8" t="s">
        <v>10</v>
      </c>
      <c r="O29" s="8">
        <f>POWER(((O6-L25)^2+(O7-L26)^2+(O8-L27)^2+(O9-L28)^2+(O10-L29)^2+(O11-L30)^2+(O12-L31)^2+(O13-L32)^2+(O14-L33)^2+(O15-L34)^2+(O16-L35)^2+(O17-L36)^2+(O18-L37)^2+(O19-L38)^2),0.5)</f>
        <v>1.6165584965553588</v>
      </c>
      <c r="P29" s="8">
        <f>POWER(((L25-P6)^2+(L26-P7)^2+(L27-P8)^2+(L28-P9)^2+(L29-P10)^2+(L30-P11)^2+(L31-P12)^2+(L32-P13)^2+(L33-P14)^2+(L34-P15)^2+(L35-P16)^2+(L36-P17)^2+(L37-P18)^2+(L38-P19)^2),0.5)</f>
        <v>1.6298659313026165</v>
      </c>
    </row>
    <row r="30" spans="2:16" ht="14.45">
      <c r="G30" s="7" t="s">
        <v>29</v>
      </c>
      <c r="H30" s="7">
        <f>H11/POWER(($H11^2+$I11^2+$J11^2+$K11^2+$L11^2), 0.5)</f>
        <v>0.43578776856227464</v>
      </c>
      <c r="I30" s="7">
        <f>I11/POWER(($H11^2+$I11^2+$J11^2+$K11^2+$L11^2), 0.5)</f>
        <v>0.49026123963255896</v>
      </c>
      <c r="J30" s="7">
        <f>J11/POWER(($H11^2+$I11^2+$J11^2+$K11^2+$L11^2), 0.5)</f>
        <v>0.43578776856227464</v>
      </c>
      <c r="K30" s="7">
        <f>K11/POWER(($H11^2+$I11^2+$J11^2+$K11^2+$L11^2), 0.5)</f>
        <v>0.43578776856227464</v>
      </c>
      <c r="L30" s="7">
        <f>L11/POWER(($H11^2+$I11^2+$J11^2+$K11^2+$L11^2), 0.5)</f>
        <v>0.43578776856227464</v>
      </c>
    </row>
    <row r="31" spans="2:16" ht="14.45">
      <c r="G31" s="7" t="s">
        <v>31</v>
      </c>
      <c r="H31" s="7">
        <f>H12/POWER(($H12^2+$I12^2+$J12^2+$K12^2+$L12^2), 0.5)</f>
        <v>0.30542361089076309</v>
      </c>
      <c r="I31" s="7">
        <f>I12/POWER(($H12^2+$I12^2+$J12^2+$K12^2+$L12^2), 0.5)</f>
        <v>0.42759305524706831</v>
      </c>
      <c r="J31" s="7">
        <f>J12/POWER(($H12^2+$I12^2+$J12^2+$K12^2+$L12^2), 0.5)</f>
        <v>0.54976249960337353</v>
      </c>
      <c r="K31" s="7">
        <f>K12/POWER(($H12^2+$I12^2+$J12^2+$K12^2+$L12^2), 0.5)</f>
        <v>0.42759305524706831</v>
      </c>
      <c r="L31" s="7">
        <f>L12/POWER(($H12^2+$I12^2+$J12^2+$K12^2+$L12^2), 0.5)</f>
        <v>0.48867777742522095</v>
      </c>
    </row>
    <row r="32" spans="2:16">
      <c r="G32" s="7" t="s">
        <v>34</v>
      </c>
      <c r="H32" s="7">
        <f>H13/POWER(($H13^2+$I13^2+$J13^2+$K13^2+$L13^2), 0.5)</f>
        <v>0.39951110187474476</v>
      </c>
      <c r="I32" s="7">
        <f>I13/POWER(($H13^2+$I13^2+$J13^2+$K13^2+$L13^2), 0.5)</f>
        <v>0.45658411642827967</v>
      </c>
      <c r="J32" s="7">
        <f>J13/POWER(($H13^2+$I13^2+$J13^2+$K13^2+$L13^2), 0.5)</f>
        <v>0.51365713098181465</v>
      </c>
      <c r="K32" s="7">
        <f>K13/POWER(($H13^2+$I13^2+$J13^2+$K13^2+$L13^2), 0.5)</f>
        <v>0.45658411642827967</v>
      </c>
      <c r="L32" s="7">
        <f>L13/POWER(($H13^2+$I13^2+$J13^2+$K13^2+$L13^2), 0.5)</f>
        <v>0.39951110187474476</v>
      </c>
      <c r="N32" s="1" t="s">
        <v>50</v>
      </c>
    </row>
    <row r="33" spans="7:19" ht="14.45">
      <c r="G33" s="7" t="s">
        <v>36</v>
      </c>
      <c r="H33" s="7">
        <f>H14/POWER(($H14^2+$I14^2+$J14^2+$K14^2+$L14^2), 0.5)</f>
        <v>0.40509574683346666</v>
      </c>
      <c r="I33" s="7">
        <f>I14/POWER(($H14^2+$I14^2+$J14^2+$K14^2+$L14^2), 0.5)</f>
        <v>0.50636968354183332</v>
      </c>
      <c r="J33" s="7">
        <f>J14/POWER(($H14^2+$I14^2+$J14^2+$K14^2+$L14^2), 0.5)</f>
        <v>0.45573271518765002</v>
      </c>
      <c r="K33" s="7">
        <f>K14/POWER(($H14^2+$I14^2+$J14^2+$K14^2+$L14^2), 0.5)</f>
        <v>0.45573271518765002</v>
      </c>
      <c r="L33" s="7">
        <f>L14/POWER(($H14^2+$I14^2+$J14^2+$K14^2+$L14^2), 0.5)</f>
        <v>0.40509574683346666</v>
      </c>
      <c r="N33" s="41"/>
      <c r="O33" s="7" t="s">
        <v>6</v>
      </c>
      <c r="P33" s="7" t="s">
        <v>7</v>
      </c>
      <c r="Q33" s="7" t="s">
        <v>8</v>
      </c>
      <c r="R33" s="8" t="s">
        <v>9</v>
      </c>
      <c r="S33" s="8" t="s">
        <v>10</v>
      </c>
    </row>
    <row r="34" spans="7:19" ht="14.45">
      <c r="G34" s="7" t="s">
        <v>38</v>
      </c>
      <c r="H34" s="7">
        <f>H15/POWER(($H15^2+$I15^2+$J15^2+$K15^2+$L15^2), 0.5)</f>
        <v>0.39951110187474476</v>
      </c>
      <c r="I34" s="7">
        <f>I15/POWER(($H15^2+$I15^2+$J15^2+$K15^2+$L15^2), 0.5)</f>
        <v>0.51365713098181465</v>
      </c>
      <c r="J34" s="7">
        <f>J15/POWER(($H15^2+$I15^2+$J15^2+$K15^2+$L15^2), 0.5)</f>
        <v>0.45658411642827967</v>
      </c>
      <c r="K34" s="7">
        <f>K15/POWER(($H15^2+$I15^2+$J15^2+$K15^2+$L15^2), 0.5)</f>
        <v>0.45658411642827967</v>
      </c>
      <c r="L34" s="7">
        <f>L15/POWER(($H15^2+$I15^2+$J15^2+$K15^2+$L15^2), 0.5)</f>
        <v>0.39951110187474476</v>
      </c>
      <c r="N34" s="60"/>
      <c r="O34" s="60">
        <f>P25/(O25+P25)</f>
        <v>0.50642490328129108</v>
      </c>
      <c r="P34" s="60">
        <f>P26/(O26+P26)</f>
        <v>0.5021881194021639</v>
      </c>
      <c r="Q34" s="60">
        <f>P27/(O27+P27)</f>
        <v>0.50565596572415683</v>
      </c>
      <c r="R34" s="60">
        <f>P28/(O28+P28)</f>
        <v>0.50671097390157682</v>
      </c>
      <c r="S34" s="60">
        <f>P29/(O29+P29)</f>
        <v>0.50204955252200933</v>
      </c>
    </row>
    <row r="35" spans="7:19" ht="14.45">
      <c r="G35" s="7" t="s">
        <v>41</v>
      </c>
      <c r="H35" s="7">
        <f>H16/POWER(($H16^2+$I16^2+$J16^2+$K16^2+$L16^2), 0.5)</f>
        <v>0.34340140987172252</v>
      </c>
      <c r="I35" s="7">
        <f>I16/POWER(($H16^2+$I16^2+$J16^2+$K16^2+$L16^2), 0.5)</f>
        <v>0.48076197382041158</v>
      </c>
      <c r="J35" s="7">
        <f>J16/POWER(($H16^2+$I16^2+$J16^2+$K16^2+$L16^2), 0.5)</f>
        <v>0.54944225579475603</v>
      </c>
      <c r="K35" s="7">
        <f>K16/POWER(($H16^2+$I16^2+$J16^2+$K16^2+$L16^2), 0.5)</f>
        <v>0.48076197382041158</v>
      </c>
      <c r="L35" s="7">
        <f>L16/POWER(($H16^2+$I16^2+$J16^2+$K16^2+$L16^2), 0.5)</f>
        <v>0.34340140987172252</v>
      </c>
      <c r="N35" s="7" t="s">
        <v>51</v>
      </c>
      <c r="O35" s="8">
        <f>RANK(O34,O$34:S$34)</f>
        <v>2</v>
      </c>
      <c r="P35" s="8">
        <f>RANK(P34,O$34:S$34)</f>
        <v>4</v>
      </c>
      <c r="Q35" s="8">
        <f>RANK(Q34,O$34:S$34)</f>
        <v>3</v>
      </c>
      <c r="R35" s="8">
        <f>RANK(R34,O$34:S$34)</f>
        <v>1</v>
      </c>
      <c r="S35" s="8">
        <f>RANK(S34,O$34:S$34)</f>
        <v>5</v>
      </c>
    </row>
    <row r="36" spans="7:19" ht="14.45">
      <c r="G36" s="7" t="s">
        <v>43</v>
      </c>
      <c r="H36" s="7">
        <f>H17/POWER(($H17^2+$I17^2+$J17^2+$K17^2+$L17^2), 0.5)</f>
        <v>0.46656947481584343</v>
      </c>
      <c r="I36" s="7">
        <f>I17/POWER(($H17^2+$I17^2+$J17^2+$K17^2+$L17^2), 0.5)</f>
        <v>0.52489065916782385</v>
      </c>
      <c r="J36" s="7">
        <f>J17/POWER(($H17^2+$I17^2+$J17^2+$K17^2+$L17^2), 0.5)</f>
        <v>0.46656947481584343</v>
      </c>
      <c r="K36" s="7">
        <f>K17/POWER(($H17^2+$I17^2+$J17^2+$K17^2+$L17^2), 0.5)</f>
        <v>0.40824829046386302</v>
      </c>
      <c r="L36" s="7">
        <f>L17/POWER(($H17^2+$I17^2+$J17^2+$K17^2+$L17^2), 0.5)</f>
        <v>0.3499271061118826</v>
      </c>
    </row>
    <row r="37" spans="7:19" ht="14.45">
      <c r="G37" s="7" t="s">
        <v>45</v>
      </c>
      <c r="H37" s="7">
        <f>H18/POWER(($H18^2+$I18^2+$J18^2+$K18^2+$L18^2), 0.5)</f>
        <v>0.39009474880274697</v>
      </c>
      <c r="I37" s="7">
        <f>I18/POWER(($H18^2+$I18^2+$J18^2+$K18^2+$L18^2), 0.5)</f>
        <v>0.44582257006028231</v>
      </c>
      <c r="J37" s="7">
        <f>J18/POWER(($H18^2+$I18^2+$J18^2+$K18^2+$L18^2), 0.5)</f>
        <v>0.44582257006028231</v>
      </c>
      <c r="K37" s="7">
        <f>K18/POWER(($H18^2+$I18^2+$J18^2+$K18^2+$L18^2), 0.5)</f>
        <v>0.50155039131781753</v>
      </c>
      <c r="L37" s="7">
        <f>L18/POWER(($H18^2+$I18^2+$J18^2+$K18^2+$L18^2), 0.5)</f>
        <v>0.44582257006028231</v>
      </c>
    </row>
    <row r="38" spans="7:19" ht="14.45">
      <c r="G38" s="7" t="s">
        <v>47</v>
      </c>
      <c r="H38" s="7">
        <f>H19/POWER(($H19^2+$I19^2+$J19^2+$K19^2+$L19^2), 0.5)</f>
        <v>0.29721914913888203</v>
      </c>
      <c r="I38" s="7">
        <f>I19/POWER(($H19^2+$I19^2+$J19^2+$K19^2+$L19^2), 0.5)</f>
        <v>0.53499446844998766</v>
      </c>
      <c r="J38" s="7">
        <f>J19/POWER(($H19^2+$I19^2+$J19^2+$K19^2+$L19^2), 0.5)</f>
        <v>0.47555063862221125</v>
      </c>
      <c r="K38" s="7">
        <f>K19/POWER(($H19^2+$I19^2+$J19^2+$K19^2+$L19^2), 0.5)</f>
        <v>0.47555063862221125</v>
      </c>
      <c r="L38" s="7">
        <f>L19/POWER(($H19^2+$I19^2+$J19^2+$K19^2+$L19^2), 0.5)</f>
        <v>0.41610680879443485</v>
      </c>
    </row>
    <row r="42" spans="7:19" ht="14.45">
      <c r="G42" s="1" t="s">
        <v>1</v>
      </c>
    </row>
    <row r="43" spans="7:19" ht="14.45">
      <c r="G43" s="34"/>
      <c r="H43" s="7" t="s">
        <v>6</v>
      </c>
      <c r="I43" s="7" t="s">
        <v>7</v>
      </c>
      <c r="J43" s="7" t="s">
        <v>8</v>
      </c>
      <c r="K43" s="7" t="s">
        <v>9</v>
      </c>
      <c r="L43" s="7" t="s">
        <v>10</v>
      </c>
    </row>
    <row r="44" spans="7:19" ht="14.45">
      <c r="G44" s="7" t="s">
        <v>16</v>
      </c>
      <c r="H44" s="7">
        <f>H25*$D6</f>
        <v>9.4868329805051377E-3</v>
      </c>
      <c r="I44" s="7">
        <f t="shared" ref="I44:L44" si="2">I25*$D6</f>
        <v>1.8973665961010275E-2</v>
      </c>
      <c r="J44" s="7">
        <f t="shared" si="2"/>
        <v>9.4868329805051377E-3</v>
      </c>
      <c r="K44" s="7">
        <f t="shared" si="2"/>
        <v>0</v>
      </c>
      <c r="L44" s="7">
        <f t="shared" si="2"/>
        <v>1.8973665961010275E-2</v>
      </c>
    </row>
    <row r="45" spans="7:19" ht="14.45">
      <c r="G45" s="7" t="s">
        <v>18</v>
      </c>
      <c r="H45" s="7">
        <f t="shared" ref="H45:L57" si="3">H26*$D7</f>
        <v>0</v>
      </c>
      <c r="I45" s="7">
        <f t="shared" si="3"/>
        <v>2.8284271247461898E-2</v>
      </c>
      <c r="J45" s="7">
        <f t="shared" si="3"/>
        <v>0</v>
      </c>
      <c r="K45" s="7">
        <f t="shared" si="3"/>
        <v>0</v>
      </c>
      <c r="L45" s="7">
        <f t="shared" si="3"/>
        <v>2.8284271247461898E-2</v>
      </c>
    </row>
    <row r="46" spans="7:19" ht="14.45">
      <c r="G46" s="7" t="s">
        <v>22</v>
      </c>
      <c r="H46" s="7">
        <f>H27*$D8</f>
        <v>6.680990011245666E-2</v>
      </c>
      <c r="I46" s="7">
        <f t="shared" si="3"/>
        <v>6.680990011245666E-2</v>
      </c>
      <c r="J46" s="7">
        <f t="shared" si="3"/>
        <v>7.6354171557093328E-2</v>
      </c>
      <c r="K46" s="7">
        <f t="shared" si="3"/>
        <v>5.7265628667819993E-2</v>
      </c>
      <c r="L46" s="7">
        <f t="shared" si="3"/>
        <v>6.680990011245666E-2</v>
      </c>
    </row>
    <row r="47" spans="7:19" ht="14.45">
      <c r="G47" s="7" t="s">
        <v>24</v>
      </c>
      <c r="H47" s="7">
        <f t="shared" si="3"/>
        <v>5.79569341078367E-2</v>
      </c>
      <c r="I47" s="7">
        <f>I28*$D9</f>
        <v>6.520155087131628E-2</v>
      </c>
      <c r="J47" s="7">
        <f t="shared" si="3"/>
        <v>5.79569341078367E-2</v>
      </c>
      <c r="K47" s="7">
        <f t="shared" si="3"/>
        <v>5.0712317344357105E-2</v>
      </c>
      <c r="L47" s="7">
        <f t="shared" si="3"/>
        <v>5.79569341078367E-2</v>
      </c>
    </row>
    <row r="48" spans="7:19" ht="14.45">
      <c r="G48" s="7" t="s">
        <v>26</v>
      </c>
      <c r="H48" s="7">
        <f t="shared" si="3"/>
        <v>5.2033244791536037E-2</v>
      </c>
      <c r="I48" s="7">
        <f t="shared" si="3"/>
        <v>5.2033244791536037E-2</v>
      </c>
      <c r="J48" s="7">
        <f t="shared" si="3"/>
        <v>5.7814716435040041E-2</v>
      </c>
      <c r="K48" s="7">
        <f t="shared" si="3"/>
        <v>3.468882986102402E-2</v>
      </c>
      <c r="L48" s="7">
        <f t="shared" si="3"/>
        <v>4.6251773148032034E-2</v>
      </c>
    </row>
    <row r="49" spans="7:12" ht="14.45">
      <c r="G49" s="7" t="s">
        <v>29</v>
      </c>
      <c r="H49" s="7">
        <f t="shared" si="3"/>
        <v>3.9220899170604714E-2</v>
      </c>
      <c r="I49" s="7">
        <f t="shared" si="3"/>
        <v>4.4123511566930305E-2</v>
      </c>
      <c r="J49" s="7">
        <f t="shared" si="3"/>
        <v>3.9220899170604714E-2</v>
      </c>
      <c r="K49" s="7">
        <f t="shared" si="3"/>
        <v>3.9220899170604714E-2</v>
      </c>
      <c r="L49" s="7">
        <f t="shared" si="3"/>
        <v>3.9220899170604714E-2</v>
      </c>
    </row>
    <row r="50" spans="7:12" ht="14.45">
      <c r="G50" s="7" t="s">
        <v>31</v>
      </c>
      <c r="H50" s="7">
        <f t="shared" si="3"/>
        <v>2.4433888871261047E-2</v>
      </c>
      <c r="I50" s="7">
        <f t="shared" si="3"/>
        <v>3.4207444419765469E-2</v>
      </c>
      <c r="J50" s="7">
        <f t="shared" si="3"/>
        <v>4.3980999968269881E-2</v>
      </c>
      <c r="K50" s="7">
        <f t="shared" si="3"/>
        <v>3.4207444419765469E-2</v>
      </c>
      <c r="L50" s="7">
        <f t="shared" si="3"/>
        <v>3.9094222194017675E-2</v>
      </c>
    </row>
    <row r="51" spans="7:12" ht="14.45">
      <c r="G51" s="7" t="s">
        <v>34</v>
      </c>
      <c r="H51" s="7">
        <f t="shared" si="3"/>
        <v>1.5980444074989792E-2</v>
      </c>
      <c r="I51" s="7">
        <f t="shared" si="3"/>
        <v>1.8263364657131187E-2</v>
      </c>
      <c r="J51" s="7">
        <f t="shared" si="3"/>
        <v>2.0546285239272585E-2</v>
      </c>
      <c r="K51" s="7">
        <f t="shared" si="3"/>
        <v>1.8263364657131187E-2</v>
      </c>
      <c r="L51" s="7">
        <f t="shared" si="3"/>
        <v>1.5980444074989792E-2</v>
      </c>
    </row>
    <row r="52" spans="7:12" ht="14.45">
      <c r="G52" s="7" t="s">
        <v>36</v>
      </c>
      <c r="H52" s="7">
        <f t="shared" si="3"/>
        <v>1.6203829873338668E-2</v>
      </c>
      <c r="I52" s="7">
        <f t="shared" si="3"/>
        <v>2.0254787341673332E-2</v>
      </c>
      <c r="J52" s="7">
        <f t="shared" si="3"/>
        <v>1.8229308607506E-2</v>
      </c>
      <c r="K52" s="7">
        <f t="shared" si="3"/>
        <v>1.8229308607506E-2</v>
      </c>
      <c r="L52" s="7">
        <f t="shared" si="3"/>
        <v>1.6203829873338668E-2</v>
      </c>
    </row>
    <row r="53" spans="7:12" ht="14.45">
      <c r="G53" s="7" t="s">
        <v>38</v>
      </c>
      <c r="H53" s="7">
        <f t="shared" si="3"/>
        <v>1.9975555093737239E-2</v>
      </c>
      <c r="I53" s="7">
        <f t="shared" si="3"/>
        <v>2.5682856549090735E-2</v>
      </c>
      <c r="J53" s="7">
        <f t="shared" si="3"/>
        <v>2.2829205821413984E-2</v>
      </c>
      <c r="K53" s="7">
        <f t="shared" si="3"/>
        <v>2.2829205821413984E-2</v>
      </c>
      <c r="L53" s="7">
        <f t="shared" si="3"/>
        <v>1.9975555093737239E-2</v>
      </c>
    </row>
    <row r="54" spans="7:12" ht="14.45">
      <c r="G54" s="7" t="s">
        <v>41</v>
      </c>
      <c r="H54" s="7">
        <f t="shared" si="3"/>
        <v>2.060408459230335E-2</v>
      </c>
      <c r="I54" s="7">
        <f t="shared" si="3"/>
        <v>2.8845718429224693E-2</v>
      </c>
      <c r="J54" s="7">
        <f t="shared" si="3"/>
        <v>3.2966535347685358E-2</v>
      </c>
      <c r="K54" s="7">
        <f t="shared" si="3"/>
        <v>2.8845718429224693E-2</v>
      </c>
      <c r="L54" s="7">
        <f t="shared" si="3"/>
        <v>2.060408459230335E-2</v>
      </c>
    </row>
    <row r="55" spans="7:12" ht="14.45">
      <c r="G55" s="7" t="s">
        <v>43</v>
      </c>
      <c r="H55" s="7">
        <f t="shared" si="3"/>
        <v>2.7994168488950606E-2</v>
      </c>
      <c r="I55" s="7">
        <f t="shared" si="3"/>
        <v>3.1493439550069433E-2</v>
      </c>
      <c r="J55" s="7">
        <f t="shared" si="3"/>
        <v>2.7994168488950606E-2</v>
      </c>
      <c r="K55" s="7">
        <f t="shared" si="3"/>
        <v>2.4494897427831779E-2</v>
      </c>
      <c r="L55" s="7">
        <f t="shared" si="3"/>
        <v>2.0995626366712955E-2</v>
      </c>
    </row>
    <row r="56" spans="7:12" ht="14.45">
      <c r="G56" s="7" t="s">
        <v>45</v>
      </c>
      <c r="H56" s="7">
        <f t="shared" si="3"/>
        <v>2.730663241619229E-2</v>
      </c>
      <c r="I56" s="7">
        <f t="shared" si="3"/>
        <v>3.1207579904219764E-2</v>
      </c>
      <c r="J56" s="7">
        <f t="shared" si="3"/>
        <v>3.1207579904219764E-2</v>
      </c>
      <c r="K56" s="7">
        <f t="shared" si="3"/>
        <v>3.5108527392247228E-2</v>
      </c>
      <c r="L56" s="7">
        <f t="shared" si="3"/>
        <v>3.1207579904219764E-2</v>
      </c>
    </row>
    <row r="57" spans="7:12" ht="14.45">
      <c r="G57" s="7" t="s">
        <v>47</v>
      </c>
      <c r="H57" s="7">
        <f t="shared" si="3"/>
        <v>1.4860957456944102E-2</v>
      </c>
      <c r="I57" s="7">
        <f t="shared" si="3"/>
        <v>2.6749723422499386E-2</v>
      </c>
      <c r="J57" s="7">
        <f t="shared" si="3"/>
        <v>2.3777531931110565E-2</v>
      </c>
      <c r="K57" s="7">
        <f t="shared" si="3"/>
        <v>2.3777531931110565E-2</v>
      </c>
      <c r="L57" s="7">
        <f t="shared" si="3"/>
        <v>2.0805340439721744E-2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E1F7-78F9-40B2-B439-9D64B0896FA9}">
  <dimension ref="B4:S57"/>
  <sheetViews>
    <sheetView topLeftCell="M15" zoomScale="64" workbookViewId="0">
      <selection activeCell="O27" sqref="O27"/>
    </sheetView>
  </sheetViews>
  <sheetFormatPr defaultRowHeight="15"/>
  <cols>
    <col min="2" max="2" width="21.85546875" customWidth="1"/>
    <col min="3" max="3" width="29" customWidth="1"/>
    <col min="7" max="7" width="13" customWidth="1"/>
    <col min="8" max="8" width="23" customWidth="1"/>
    <col min="9" max="9" width="16.28515625" customWidth="1"/>
    <col min="10" max="10" width="16" customWidth="1"/>
    <col min="11" max="11" width="14.7109375" customWidth="1"/>
    <col min="12" max="12" width="15.5703125" customWidth="1"/>
    <col min="14" max="14" width="13.140625" customWidth="1"/>
    <col min="15" max="15" width="20.42578125" customWidth="1"/>
    <col min="16" max="16" width="18.42578125" customWidth="1"/>
    <col min="17" max="17" width="17.42578125" customWidth="1"/>
    <col min="18" max="18" width="14.7109375" customWidth="1"/>
    <col min="19" max="19" width="16.85546875" customWidth="1"/>
  </cols>
  <sheetData>
    <row r="4" spans="2:16">
      <c r="B4" s="1" t="s">
        <v>0</v>
      </c>
      <c r="G4" s="1" t="s">
        <v>1</v>
      </c>
      <c r="N4" s="1" t="s">
        <v>2</v>
      </c>
    </row>
    <row r="5" spans="2:16">
      <c r="B5" s="9" t="s">
        <v>3</v>
      </c>
      <c r="C5" s="11" t="s">
        <v>4</v>
      </c>
      <c r="D5" s="7" t="s">
        <v>5</v>
      </c>
      <c r="E5" s="8"/>
      <c r="G5" s="42"/>
      <c r="H5" s="43" t="s">
        <v>6</v>
      </c>
      <c r="I5" s="43" t="s">
        <v>7</v>
      </c>
      <c r="J5" s="43" t="s">
        <v>8</v>
      </c>
      <c r="K5" s="43" t="s">
        <v>9</v>
      </c>
      <c r="L5" s="43" t="s">
        <v>10</v>
      </c>
      <c r="N5" s="3"/>
      <c r="O5" s="5" t="s">
        <v>11</v>
      </c>
      <c r="P5" s="5" t="s">
        <v>12</v>
      </c>
    </row>
    <row r="6" spans="2:16">
      <c r="B6" s="25" t="s">
        <v>13</v>
      </c>
      <c r="C6" s="26" t="s">
        <v>14</v>
      </c>
      <c r="D6" s="27">
        <v>0.03</v>
      </c>
      <c r="E6" s="27" t="s">
        <v>15</v>
      </c>
      <c r="G6" s="43" t="s">
        <v>16</v>
      </c>
      <c r="H6" s="70">
        <v>0</v>
      </c>
      <c r="I6" s="66">
        <v>3</v>
      </c>
      <c r="J6" s="66">
        <v>2</v>
      </c>
      <c r="K6" s="70">
        <v>0</v>
      </c>
      <c r="L6" s="43">
        <v>1</v>
      </c>
      <c r="N6" s="2" t="s">
        <v>16</v>
      </c>
      <c r="O6" s="4">
        <f>MIN(H44:L44)</f>
        <v>0</v>
      </c>
      <c r="P6" s="4">
        <f>MAX(H44:L44)</f>
        <v>2.4053511772118195E-2</v>
      </c>
    </row>
    <row r="7" spans="2:16">
      <c r="B7" s="28"/>
      <c r="C7" s="29" t="s">
        <v>17</v>
      </c>
      <c r="D7" s="27">
        <v>0.04</v>
      </c>
      <c r="E7" s="27" t="s">
        <v>15</v>
      </c>
      <c r="G7" s="43" t="s">
        <v>18</v>
      </c>
      <c r="H7" s="66">
        <v>1</v>
      </c>
      <c r="I7" s="70">
        <v>0</v>
      </c>
      <c r="J7" s="66">
        <v>1</v>
      </c>
      <c r="K7" s="66">
        <v>1</v>
      </c>
      <c r="L7" s="70">
        <v>0</v>
      </c>
      <c r="N7" s="2" t="s">
        <v>18</v>
      </c>
      <c r="O7" s="4">
        <f>MIN(H45:L45)</f>
        <v>0</v>
      </c>
      <c r="P7" s="4">
        <f>MAX(H45:L45)</f>
        <v>2.3094010767585035E-2</v>
      </c>
    </row>
    <row r="8" spans="2:16">
      <c r="B8" s="14" t="s">
        <v>19</v>
      </c>
      <c r="C8" s="15" t="s">
        <v>20</v>
      </c>
      <c r="D8" s="30">
        <v>0.15</v>
      </c>
      <c r="E8" s="30" t="s">
        <v>21</v>
      </c>
      <c r="G8" s="43" t="s">
        <v>22</v>
      </c>
      <c r="H8" s="66">
        <v>70</v>
      </c>
      <c r="I8" s="66">
        <v>70</v>
      </c>
      <c r="J8" s="66">
        <v>70</v>
      </c>
      <c r="K8" s="66">
        <v>90</v>
      </c>
      <c r="L8" s="43">
        <v>80</v>
      </c>
      <c r="N8" s="2" t="s">
        <v>22</v>
      </c>
      <c r="O8" s="4">
        <f t="shared" ref="O7:O19" si="0">MAX(H46:L46)</f>
        <v>7.9002774357388131E-2</v>
      </c>
      <c r="P8" s="4">
        <f t="shared" ref="P7:P19" si="1">MIN(H46:L46)</f>
        <v>6.1446602277968547E-2</v>
      </c>
    </row>
    <row r="9" spans="2:16">
      <c r="B9" s="14"/>
      <c r="C9" s="15" t="s">
        <v>23</v>
      </c>
      <c r="D9" s="30">
        <v>0.13</v>
      </c>
      <c r="E9" s="30" t="s">
        <v>21</v>
      </c>
      <c r="G9" s="43" t="s">
        <v>24</v>
      </c>
      <c r="H9" s="66">
        <v>70</v>
      </c>
      <c r="I9" s="66">
        <v>100</v>
      </c>
      <c r="J9" s="66">
        <v>90</v>
      </c>
      <c r="K9" s="66">
        <v>60</v>
      </c>
      <c r="L9" s="43">
        <v>80</v>
      </c>
      <c r="N9" s="2" t="s">
        <v>24</v>
      </c>
      <c r="O9" s="4">
        <f t="shared" si="0"/>
        <v>7.1562644733213443E-2</v>
      </c>
      <c r="P9" s="4">
        <f t="shared" si="1"/>
        <v>4.2937586839928064E-2</v>
      </c>
    </row>
    <row r="10" spans="2:16">
      <c r="B10" s="14"/>
      <c r="C10" s="15" t="s">
        <v>25</v>
      </c>
      <c r="D10" s="30">
        <v>0.11</v>
      </c>
      <c r="E10" s="30" t="s">
        <v>21</v>
      </c>
      <c r="G10" s="43" t="s">
        <v>26</v>
      </c>
      <c r="H10" s="66">
        <v>100</v>
      </c>
      <c r="I10" s="66">
        <v>100</v>
      </c>
      <c r="J10" s="66">
        <v>60</v>
      </c>
      <c r="K10" s="66">
        <v>80</v>
      </c>
      <c r="L10" s="43">
        <v>90</v>
      </c>
      <c r="N10" s="2" t="s">
        <v>26</v>
      </c>
      <c r="O10" s="4">
        <f t="shared" si="0"/>
        <v>5.6354707153641603E-2</v>
      </c>
      <c r="P10" s="4">
        <f t="shared" si="1"/>
        <v>3.3812824292184962E-2</v>
      </c>
    </row>
    <row r="11" spans="2:16">
      <c r="B11" s="16" t="s">
        <v>27</v>
      </c>
      <c r="C11" s="17" t="s">
        <v>28</v>
      </c>
      <c r="D11" s="31">
        <v>0.09</v>
      </c>
      <c r="E11" s="31" t="s">
        <v>21</v>
      </c>
      <c r="G11" s="43" t="s">
        <v>29</v>
      </c>
      <c r="H11" s="66">
        <v>50</v>
      </c>
      <c r="I11" s="66">
        <v>80</v>
      </c>
      <c r="J11" s="66">
        <v>60</v>
      </c>
      <c r="K11" s="66">
        <v>100</v>
      </c>
      <c r="L11" s="43">
        <v>90</v>
      </c>
      <c r="N11" s="2" t="s">
        <v>29</v>
      </c>
      <c r="O11" s="4">
        <f t="shared" si="0"/>
        <v>5.1449575542752646E-2</v>
      </c>
      <c r="P11" s="4">
        <f t="shared" si="1"/>
        <v>2.5724787771376323E-2</v>
      </c>
    </row>
    <row r="12" spans="2:16">
      <c r="B12" s="16"/>
      <c r="C12" s="17" t="s">
        <v>30</v>
      </c>
      <c r="D12" s="31">
        <v>0.08</v>
      </c>
      <c r="E12" s="31" t="s">
        <v>21</v>
      </c>
      <c r="G12" s="43" t="s">
        <v>31</v>
      </c>
      <c r="H12" s="66">
        <v>80</v>
      </c>
      <c r="I12" s="66">
        <v>50</v>
      </c>
      <c r="J12" s="66">
        <v>50</v>
      </c>
      <c r="K12" s="66">
        <v>70</v>
      </c>
      <c r="L12" s="43">
        <v>70</v>
      </c>
      <c r="N12" s="2" t="s">
        <v>31</v>
      </c>
      <c r="O12" s="4">
        <f t="shared" si="0"/>
        <v>4.3955380463580482E-2</v>
      </c>
      <c r="P12" s="4">
        <f t="shared" si="1"/>
        <v>2.7472112789737803E-2</v>
      </c>
    </row>
    <row r="13" spans="2:16">
      <c r="B13" s="18" t="s">
        <v>32</v>
      </c>
      <c r="C13" s="19" t="s">
        <v>33</v>
      </c>
      <c r="D13" s="32">
        <v>0.04</v>
      </c>
      <c r="E13" s="32" t="s">
        <v>21</v>
      </c>
      <c r="G13" s="43" t="s">
        <v>34</v>
      </c>
      <c r="H13" s="66">
        <v>60</v>
      </c>
      <c r="I13" s="66">
        <v>80</v>
      </c>
      <c r="J13" s="66">
        <v>80</v>
      </c>
      <c r="K13" s="66">
        <v>100</v>
      </c>
      <c r="L13" s="43">
        <v>100</v>
      </c>
      <c r="N13" s="2" t="s">
        <v>34</v>
      </c>
      <c r="O13" s="4">
        <f t="shared" si="0"/>
        <v>2.0965696734438363E-2</v>
      </c>
      <c r="P13" s="4">
        <f t="shared" si="1"/>
        <v>1.257941804066302E-2</v>
      </c>
    </row>
    <row r="14" spans="2:16">
      <c r="B14" s="18"/>
      <c r="C14" s="19" t="s">
        <v>35</v>
      </c>
      <c r="D14" s="32">
        <v>0.04</v>
      </c>
      <c r="E14" s="32" t="s">
        <v>21</v>
      </c>
      <c r="G14" s="43" t="s">
        <v>36</v>
      </c>
      <c r="H14" s="66">
        <v>100</v>
      </c>
      <c r="I14" s="66">
        <v>70</v>
      </c>
      <c r="J14" s="66">
        <v>80</v>
      </c>
      <c r="K14" s="66">
        <v>80</v>
      </c>
      <c r="L14" s="43">
        <v>50</v>
      </c>
      <c r="N14" s="2" t="s">
        <v>36</v>
      </c>
      <c r="O14" s="4">
        <f t="shared" si="0"/>
        <v>2.3017413505937442E-2</v>
      </c>
      <c r="P14" s="4">
        <f t="shared" si="1"/>
        <v>1.1508706752968721E-2</v>
      </c>
    </row>
    <row r="15" spans="2:16">
      <c r="B15" s="18"/>
      <c r="C15" s="19" t="s">
        <v>37</v>
      </c>
      <c r="D15" s="32">
        <v>0.05</v>
      </c>
      <c r="E15" s="32" t="s">
        <v>21</v>
      </c>
      <c r="G15" s="43" t="s">
        <v>38</v>
      </c>
      <c r="H15" s="66">
        <v>70</v>
      </c>
      <c r="I15" s="66">
        <v>90</v>
      </c>
      <c r="J15" s="66">
        <v>70</v>
      </c>
      <c r="K15" s="66">
        <v>90</v>
      </c>
      <c r="L15" s="43">
        <v>50</v>
      </c>
      <c r="N15" s="2" t="s">
        <v>38</v>
      </c>
      <c r="O15" s="4">
        <f t="shared" si="0"/>
        <v>2.6655699499159153E-2</v>
      </c>
      <c r="P15" s="4">
        <f t="shared" si="1"/>
        <v>1.4808721943977308E-2</v>
      </c>
    </row>
    <row r="16" spans="2:16">
      <c r="B16" s="20" t="s">
        <v>39</v>
      </c>
      <c r="C16" s="21" t="s">
        <v>40</v>
      </c>
      <c r="D16" s="33">
        <v>0.06</v>
      </c>
      <c r="E16" s="33" t="s">
        <v>21</v>
      </c>
      <c r="G16" s="43" t="s">
        <v>41</v>
      </c>
      <c r="H16" s="66">
        <v>60</v>
      </c>
      <c r="I16" s="66">
        <v>80</v>
      </c>
      <c r="J16" s="66">
        <v>50</v>
      </c>
      <c r="K16" s="66">
        <v>80</v>
      </c>
      <c r="L16" s="43">
        <v>100</v>
      </c>
      <c r="N16" s="2" t="s">
        <v>41</v>
      </c>
      <c r="O16" s="4">
        <f t="shared" si="0"/>
        <v>3.5294117647058823E-2</v>
      </c>
      <c r="P16" s="4">
        <f t="shared" si="1"/>
        <v>1.7647058823529412E-2</v>
      </c>
    </row>
    <row r="17" spans="2:16">
      <c r="B17" s="20"/>
      <c r="C17" s="21" t="s">
        <v>42</v>
      </c>
      <c r="D17" s="33">
        <v>0.06</v>
      </c>
      <c r="E17" s="33" t="s">
        <v>21</v>
      </c>
      <c r="G17" s="43" t="s">
        <v>43</v>
      </c>
      <c r="H17" s="66">
        <v>60</v>
      </c>
      <c r="I17" s="66">
        <v>60</v>
      </c>
      <c r="J17" s="66">
        <v>50</v>
      </c>
      <c r="K17" s="66">
        <v>60</v>
      </c>
      <c r="L17" s="43">
        <v>90</v>
      </c>
      <c r="N17" s="2" t="s">
        <v>43</v>
      </c>
      <c r="O17" s="4">
        <f t="shared" si="0"/>
        <v>3.6913640059331815E-2</v>
      </c>
      <c r="P17" s="4">
        <f t="shared" si="1"/>
        <v>2.0507577810739898E-2</v>
      </c>
    </row>
    <row r="18" spans="2:16">
      <c r="B18" s="20"/>
      <c r="C18" s="21" t="s">
        <v>44</v>
      </c>
      <c r="D18" s="33">
        <v>7.0000000000000007E-2</v>
      </c>
      <c r="E18" s="33" t="s">
        <v>21</v>
      </c>
      <c r="G18" s="43" t="s">
        <v>45</v>
      </c>
      <c r="H18" s="66">
        <v>60</v>
      </c>
      <c r="I18" s="66">
        <v>80</v>
      </c>
      <c r="J18" s="66">
        <v>80</v>
      </c>
      <c r="K18" s="66">
        <v>80</v>
      </c>
      <c r="L18" s="43">
        <v>80</v>
      </c>
      <c r="N18" s="2" t="s">
        <v>45</v>
      </c>
      <c r="O18" s="4">
        <f t="shared" si="0"/>
        <v>3.2771521214916562E-2</v>
      </c>
      <c r="P18" s="4">
        <f>MIN(H56:L56)</f>
        <v>2.4578640911187423E-2</v>
      </c>
    </row>
    <row r="19" spans="2:16">
      <c r="B19" s="22"/>
      <c r="C19" s="23" t="s">
        <v>46</v>
      </c>
      <c r="D19" s="33">
        <v>0.05</v>
      </c>
      <c r="E19" s="33" t="s">
        <v>21</v>
      </c>
      <c r="G19" s="43" t="s">
        <v>47</v>
      </c>
      <c r="H19" s="66">
        <v>90</v>
      </c>
      <c r="I19" s="66">
        <v>70</v>
      </c>
      <c r="J19" s="66">
        <v>100</v>
      </c>
      <c r="K19" s="66">
        <v>50</v>
      </c>
      <c r="L19" s="43">
        <v>80</v>
      </c>
      <c r="N19" s="2" t="s">
        <v>47</v>
      </c>
      <c r="O19" s="4">
        <f t="shared" si="0"/>
        <v>2.7994625547792713E-2</v>
      </c>
      <c r="P19" s="4">
        <f t="shared" si="1"/>
        <v>1.3997312773896356E-2</v>
      </c>
    </row>
    <row r="23" spans="2:16">
      <c r="G23" s="1" t="s">
        <v>48</v>
      </c>
      <c r="N23" s="1" t="s">
        <v>49</v>
      </c>
    </row>
    <row r="24" spans="2:16" ht="14.45">
      <c r="G24" s="34"/>
      <c r="H24" s="7" t="s">
        <v>6</v>
      </c>
      <c r="I24" s="7" t="s">
        <v>7</v>
      </c>
      <c r="J24" s="7" t="s">
        <v>8</v>
      </c>
      <c r="K24" s="7" t="s">
        <v>9</v>
      </c>
      <c r="L24" s="7" t="s">
        <v>10</v>
      </c>
      <c r="N24" s="41"/>
      <c r="O24" s="8"/>
      <c r="P24" s="8"/>
    </row>
    <row r="25" spans="2:16" ht="14.45">
      <c r="G25" s="7" t="s">
        <v>16</v>
      </c>
      <c r="H25" s="7">
        <f>H6/POWER(($H6^2+$I6^2+$J6^2+$K6^2+$L6^2), 0.5)</f>
        <v>0</v>
      </c>
      <c r="I25" s="7">
        <f>I6/POWER(($H6^2+$I6^2+$J6^2+$K6^2+$L6^2), 0.5)</f>
        <v>0.80178372573727319</v>
      </c>
      <c r="J25" s="7">
        <f>J6/POWER(($H6^2+$I6^2+$J6^2+$K6^2+$L6^2), 0.5)</f>
        <v>0.53452248382484879</v>
      </c>
      <c r="K25" s="7">
        <f>K6/POWER(($H6^2+$I6^2+$J6^2+$K6^2+$L6^2), 0.5)</f>
        <v>0</v>
      </c>
      <c r="L25" s="7">
        <f>L6/POWER(($H6^2+$I6^2+$J6^2+$K6^2+$L6^2), 0.5)</f>
        <v>0.2672612419124244</v>
      </c>
      <c r="N25" s="8" t="s">
        <v>6</v>
      </c>
      <c r="O25" s="8">
        <f>POWER(((O6-H25)^2+(O7-H26)^2+(O8-H27)^2+(O9-H28)^2+(O10-H29)^2+(O11-H30)^2+(O12-H31)^2+(O13-H32)^2+(O14-H33)^2+(O15-H34)^2+(O16-H35)^2+(O17-H36)^2+(O18-H37)^2+(O19-H38)^2),0.5)</f>
        <v>1.4728750996904045</v>
      </c>
      <c r="P25" s="8">
        <f>POWER(((H25-P6)^2+(H26-P7)^2+(H27-P8)^2+(H28-P9)^2+(H29-P10)^2+(H30-P11)^2+(H31-P12)^2+(H32-P13)^2+(H33-P14)^2+(H34-P15)^2+(H35-P16)^2+(H36-P17)^2+(H37-P18)^2+(H38-P19)^2),0.5)</f>
        <v>1.5150060434842021</v>
      </c>
    </row>
    <row r="26" spans="2:16" ht="14.45">
      <c r="G26" s="7" t="s">
        <v>18</v>
      </c>
      <c r="H26" s="7">
        <f>H7/POWER(($H7^2+$I7^2+$J7^2+$K7^2+$L7^2), 0.5)</f>
        <v>0.57735026918962584</v>
      </c>
      <c r="I26" s="7">
        <f>I7/POWER(($H7^2+$I7^2+$J7^2+$K7^2+$L7^2), 0.5)</f>
        <v>0</v>
      </c>
      <c r="J26" s="7">
        <f>J7/POWER(($H7^2+$I7^2+$J7^2+$K7^2+$L7^2), 0.5)</f>
        <v>0.57735026918962584</v>
      </c>
      <c r="K26" s="7">
        <f>K7/POWER(($H7^2+$I7^2+$J7^2+$K7^2+$L7^2), 0.5)</f>
        <v>0.57735026918962584</v>
      </c>
      <c r="L26" s="7">
        <f>L7/POWER(($H7^2+$I7^2+$J7^2+$K7^2+$L7^2), 0.5)</f>
        <v>0</v>
      </c>
      <c r="N26" s="8" t="s">
        <v>7</v>
      </c>
      <c r="O26" s="8">
        <f>POWER(((O6-I25)^2+(O7-I26)^2+(O8-I27)^2+(O9-I28)^2+(O10-I29)^2+(O11-I30)^2+(O12-I31)^2+(O13-I32)^2+(O14-I33)^2+(O15-I34)^2+(O16-I35)^2+(O17-I36)^2+(O18-I37)^2+(O19-I38)^2),0.5)</f>
        <v>1.6291318740328593</v>
      </c>
      <c r="P26" s="8">
        <f>POWER(((I25-P6)^2+(I26-P7)^2+(I27-P8)^2+(I28-P9)^2+(I29-P10)^2+(I30-P11)^2+(I31-P12)^2+(I32-P13)^2+(I33-P14)^2+(I34-P15)^2+(I35-P16)^2+(I36-P17)^2+(I37-P18)^2+(I38-P19)^2),0.5)</f>
        <v>1.668250816307614</v>
      </c>
    </row>
    <row r="27" spans="2:16" ht="14.45">
      <c r="G27" s="7" t="s">
        <v>22</v>
      </c>
      <c r="H27" s="7">
        <f>H8/POWER(($H8^2+$I8^2+$J8^2+$K8^2+$L8^2), 0.5)</f>
        <v>0.40964401518645699</v>
      </c>
      <c r="I27" s="7">
        <f>I8/POWER(($H8^2+$I8^2+$J8^2+$K8^2+$L8^2), 0.5)</f>
        <v>0.40964401518645699</v>
      </c>
      <c r="J27" s="7">
        <f>J8/POWER(($H8^2+$I8^2+$J8^2+$K8^2+$L8^2), 0.5)</f>
        <v>0.40964401518645699</v>
      </c>
      <c r="K27" s="7">
        <f>K8/POWER(($H8^2+$I8^2+$J8^2+$K8^2+$L8^2), 0.5)</f>
        <v>0.52668516238258756</v>
      </c>
      <c r="L27" s="7">
        <f>L8/POWER(($H8^2+$I8^2+$J8^2+$K8^2+$L8^2), 0.5)</f>
        <v>0.46816458878452227</v>
      </c>
      <c r="N27" s="8" t="s">
        <v>8</v>
      </c>
      <c r="O27" s="8">
        <f>POWER(((O6-J25)^2+(O7-J26)^2+(O8-J27)^2+(O9-J28)^2+(O10-J29)^2+(O11-J30)^2+(O12-J31)^2+(O13-J32)^2+(O14-J33)^2+(O15-J34)^2+(O16-J35)^2+(O17-J36)^2+(O18-J37)^2+(O19-J38)^2),0.5)</f>
        <v>1.5095106500667221</v>
      </c>
      <c r="P27" s="8">
        <f>POWER(((J25-P6)^2+(J26-P7)^2+(J27-P8)^2+(J28-P9)^2+(J29-P10)^2+(J30-P11)^2+(J31-P12)^2+(J32-P13)^2+(J33-P14)^2+(J34-P15)^2+(J35-P16)^2+(J36-P17)^2+(J37-P18)^2+(J38-P19)^2),0.5)</f>
        <v>1.5395709157124358</v>
      </c>
    </row>
    <row r="28" spans="2:16" ht="14.45">
      <c r="G28" s="7" t="s">
        <v>24</v>
      </c>
      <c r="H28" s="7">
        <f>H9/POWER(($H9^2+$I9^2+$J9^2+$K9^2+$L9^2), 0.5)</f>
        <v>0.38533731779422625</v>
      </c>
      <c r="I28" s="7">
        <f>I9/POWER(($H9^2+$I9^2+$J9^2+$K9^2+$L9^2), 0.5)</f>
        <v>0.55048188256318031</v>
      </c>
      <c r="J28" s="7">
        <f>J9/POWER(($H9^2+$I9^2+$J9^2+$K9^2+$L9^2), 0.5)</f>
        <v>0.49543369430686229</v>
      </c>
      <c r="K28" s="7">
        <f>K9/POWER(($H9^2+$I9^2+$J9^2+$K9^2+$L9^2), 0.5)</f>
        <v>0.33028912953790818</v>
      </c>
      <c r="L28" s="7">
        <f>L9/POWER(($H9^2+$I9^2+$J9^2+$K9^2+$L9^2), 0.5)</f>
        <v>0.44038550605054427</v>
      </c>
      <c r="N28" s="8" t="s">
        <v>9</v>
      </c>
      <c r="O28" s="8">
        <f>POWER(((O6-K25)^2+(O7-K26)^2+(O8-K27)^2+(O9-K28)^2+(O10-K29)^2+(O11-K30)^2+(O12-K31)^2+(O13-K32)^2+(O14-K33)^2+(O15-K34)^2+(O16-K35)^2+(O17-K36)^2+(O18-K37)^2+(O19-K38)^2),0.5)</f>
        <v>1.571576642144267</v>
      </c>
      <c r="P28" s="8">
        <f>POWER(((K25-P6)^2+(K26-P7)^2+(K27-P8)^2+(K28-P9)^2+(K29-P10)^2+(K30-P11)^2+(K31-P12)^2+(K32-P13)^2+(K33-P14)^2+(K34-P15)^2+(K35-P16)^2+(K36-P17)^2+(K37-P18)^2+(K38-P19)^2),0.5)</f>
        <v>1.6149274710281873</v>
      </c>
    </row>
    <row r="29" spans="2:16" ht="14.45">
      <c r="G29" s="7" t="s">
        <v>26</v>
      </c>
      <c r="H29" s="7">
        <f>H10/POWER(($H10^2+$I10^2+$J10^2+$K10^2+$L10^2), 0.5)</f>
        <v>0.51231551957856003</v>
      </c>
      <c r="I29" s="7">
        <f>I10/POWER(($H10^2+$I10^2+$J10^2+$K10^2+$L10^2), 0.5)</f>
        <v>0.51231551957856003</v>
      </c>
      <c r="J29" s="7">
        <f>J10/POWER(($H10^2+$I10^2+$J10^2+$K10^2+$L10^2), 0.5)</f>
        <v>0.30738931174713602</v>
      </c>
      <c r="K29" s="7">
        <f>K10/POWER(($H10^2+$I10^2+$J10^2+$K10^2+$L10^2), 0.5)</f>
        <v>0.40985241566284797</v>
      </c>
      <c r="L29" s="7">
        <f>L10/POWER(($H10^2+$I10^2+$J10^2+$K10^2+$L10^2), 0.5)</f>
        <v>0.46108396762070397</v>
      </c>
      <c r="N29" s="8" t="s">
        <v>10</v>
      </c>
      <c r="O29" s="8">
        <f>POWER(((O6-L25)^2+(O7-L26)^2+(O8-L27)^2+(O9-L28)^2+(O10-L29)^2+(O11-L30)^2+(O12-L31)^2+(O13-L32)^2+(O14-L33)^2+(O15-L34)^2+(O16-L35)^2+(O17-L36)^2+(O18-L37)^2+(O19-L38)^2),0.5)</f>
        <v>1.5264032251598285</v>
      </c>
      <c r="P29" s="8">
        <f>POWER(((L25-P6)^2+(L26-P7)^2+(L27-P8)^2+(L28-P9)^2+(L29-P10)^2+(L30-P11)^2+(L31-P12)^2+(L32-P13)^2+(L33-P14)^2+(L34-P15)^2+(L35-P16)^2+(L36-P17)^2+(L37-P18)^2+(L38-P19)^2),0.5)</f>
        <v>1.5784380143570158</v>
      </c>
    </row>
    <row r="30" spans="2:16" ht="14.45">
      <c r="G30" s="7" t="s">
        <v>29</v>
      </c>
      <c r="H30" s="7">
        <f>H11/POWER(($H11^2+$I11^2+$J11^2+$K11^2+$L11^2), 0.5)</f>
        <v>0.28583097523751472</v>
      </c>
      <c r="I30" s="7">
        <f>I11/POWER(($H11^2+$I11^2+$J11^2+$K11^2+$L11^2), 0.5)</f>
        <v>0.45732956038002354</v>
      </c>
      <c r="J30" s="7">
        <f>J11/POWER(($H11^2+$I11^2+$J11^2+$K11^2+$L11^2), 0.5)</f>
        <v>0.34299717028501764</v>
      </c>
      <c r="K30" s="7">
        <f>K11/POWER(($H11^2+$I11^2+$J11^2+$K11^2+$L11^2), 0.5)</f>
        <v>0.57166195047502943</v>
      </c>
      <c r="L30" s="7">
        <f>L11/POWER(($H11^2+$I11^2+$J11^2+$K11^2+$L11^2), 0.5)</f>
        <v>0.51449575542752646</v>
      </c>
    </row>
    <row r="31" spans="2:16" ht="14.45">
      <c r="G31" s="7" t="s">
        <v>31</v>
      </c>
      <c r="H31" s="7">
        <f>H12/POWER(($H12^2+$I12^2+$J12^2+$K12^2+$L12^2), 0.5)</f>
        <v>0.54944225579475603</v>
      </c>
      <c r="I31" s="7">
        <f>I12/POWER(($H12^2+$I12^2+$J12^2+$K12^2+$L12^2), 0.5)</f>
        <v>0.34340140987172252</v>
      </c>
      <c r="J31" s="7">
        <f>J12/POWER(($H12^2+$I12^2+$J12^2+$K12^2+$L12^2), 0.5)</f>
        <v>0.34340140987172252</v>
      </c>
      <c r="K31" s="7">
        <f>K12/POWER(($H12^2+$I12^2+$J12^2+$K12^2+$L12^2), 0.5)</f>
        <v>0.48076197382041158</v>
      </c>
      <c r="L31" s="7">
        <f>L12/POWER(($H12^2+$I12^2+$J12^2+$K12^2+$L12^2), 0.5)</f>
        <v>0.48076197382041158</v>
      </c>
    </row>
    <row r="32" spans="2:16">
      <c r="G32" s="7" t="s">
        <v>34</v>
      </c>
      <c r="H32" s="7">
        <f>H13/POWER(($H13^2+$I13^2+$J13^2+$K13^2+$L13^2), 0.5)</f>
        <v>0.31448545101657549</v>
      </c>
      <c r="I32" s="7">
        <f>I13/POWER(($H13^2+$I13^2+$J13^2+$K13^2+$L13^2), 0.5)</f>
        <v>0.41931393468876732</v>
      </c>
      <c r="J32" s="7">
        <f>J13/POWER(($H13^2+$I13^2+$J13^2+$K13^2+$L13^2), 0.5)</f>
        <v>0.41931393468876732</v>
      </c>
      <c r="K32" s="7">
        <f>K13/POWER(($H13^2+$I13^2+$J13^2+$K13^2+$L13^2), 0.5)</f>
        <v>0.52414241836095909</v>
      </c>
      <c r="L32" s="7">
        <f>L13/POWER(($H13^2+$I13^2+$J13^2+$K13^2+$L13^2), 0.5)</f>
        <v>0.52414241836095909</v>
      </c>
      <c r="N32" s="1" t="s">
        <v>50</v>
      </c>
    </row>
    <row r="33" spans="7:19" ht="14.45">
      <c r="G33" s="7" t="s">
        <v>36</v>
      </c>
      <c r="H33" s="7">
        <f>H14/POWER(($H14^2+$I14^2+$J14^2+$K14^2+$L14^2), 0.5)</f>
        <v>0.57543533764843602</v>
      </c>
      <c r="I33" s="7">
        <f>I14/POWER(($H14^2+$I14^2+$J14^2+$K14^2+$L14^2), 0.5)</f>
        <v>0.40280473635390524</v>
      </c>
      <c r="J33" s="7">
        <f>J14/POWER(($H14^2+$I14^2+$J14^2+$K14^2+$L14^2), 0.5)</f>
        <v>0.46034827011874879</v>
      </c>
      <c r="K33" s="7">
        <f>K14/POWER(($H14^2+$I14^2+$J14^2+$K14^2+$L14^2), 0.5)</f>
        <v>0.46034827011874879</v>
      </c>
      <c r="L33" s="7">
        <f>L14/POWER(($H14^2+$I14^2+$J14^2+$K14^2+$L14^2), 0.5)</f>
        <v>0.28771766882421801</v>
      </c>
      <c r="N33" s="62"/>
      <c r="O33" s="63" t="s">
        <v>6</v>
      </c>
      <c r="P33" s="63" t="s">
        <v>7</v>
      </c>
      <c r="Q33" s="63" t="s">
        <v>8</v>
      </c>
      <c r="R33" s="60" t="s">
        <v>9</v>
      </c>
      <c r="S33" s="60" t="s">
        <v>10</v>
      </c>
    </row>
    <row r="34" spans="7:19" ht="14.45">
      <c r="G34" s="7" t="s">
        <v>38</v>
      </c>
      <c r="H34" s="7">
        <f>H15/POWER(($H15^2+$I15^2+$J15^2+$K15^2+$L15^2), 0.5)</f>
        <v>0.41464421443136462</v>
      </c>
      <c r="I34" s="7">
        <f>I15/POWER(($H15^2+$I15^2+$J15^2+$K15^2+$L15^2), 0.5)</f>
        <v>0.53311398998318305</v>
      </c>
      <c r="J34" s="7">
        <f>J15/POWER(($H15^2+$I15^2+$J15^2+$K15^2+$L15^2), 0.5)</f>
        <v>0.41464421443136462</v>
      </c>
      <c r="K34" s="7">
        <f>K15/POWER(($H15^2+$I15^2+$J15^2+$K15^2+$L15^2), 0.5)</f>
        <v>0.53311398998318305</v>
      </c>
      <c r="L34" s="7">
        <f>L15/POWER(($H15^2+$I15^2+$J15^2+$K15^2+$L15^2), 0.5)</f>
        <v>0.29617443887954614</v>
      </c>
      <c r="N34" s="8"/>
      <c r="O34" s="8">
        <f>P25/(O25+P25)</f>
        <v>0.50705030450927402</v>
      </c>
      <c r="P34" s="8">
        <f>P26/(O26+P26)</f>
        <v>0.50593181713322988</v>
      </c>
      <c r="Q34" s="8">
        <f>P27/(O27+P27)</f>
        <v>0.50492939677034054</v>
      </c>
      <c r="R34" s="8">
        <f>P28/(O28+P28)</f>
        <v>0.50680225528420242</v>
      </c>
      <c r="S34" s="8">
        <f>P29/(O29+P29)</f>
        <v>0.50837962156243532</v>
      </c>
    </row>
    <row r="35" spans="7:19" ht="14.45">
      <c r="G35" s="7" t="s">
        <v>41</v>
      </c>
      <c r="H35" s="7">
        <f>H16/POWER(($H16^2+$I16^2+$J16^2+$K16^2+$L16^2), 0.5)</f>
        <v>0.35294117647058826</v>
      </c>
      <c r="I35" s="7">
        <f>I16/POWER(($H16^2+$I16^2+$J16^2+$K16^2+$L16^2), 0.5)</f>
        <v>0.47058823529411764</v>
      </c>
      <c r="J35" s="7">
        <f>J16/POWER(($H16^2+$I16^2+$J16^2+$K16^2+$L16^2), 0.5)</f>
        <v>0.29411764705882354</v>
      </c>
      <c r="K35" s="7">
        <f>K16/POWER(($H16^2+$I16^2+$J16^2+$K16^2+$L16^2), 0.5)</f>
        <v>0.47058823529411764</v>
      </c>
      <c r="L35" s="7">
        <f>L16/POWER(($H16^2+$I16^2+$J16^2+$K16^2+$L16^2), 0.5)</f>
        <v>0.58823529411764708</v>
      </c>
      <c r="N35" s="7" t="s">
        <v>51</v>
      </c>
      <c r="O35" s="8">
        <f>RANK(O34,O$34:S$34)</f>
        <v>2</v>
      </c>
      <c r="P35" s="8">
        <f>RANK(P34,O$34:S$34)</f>
        <v>4</v>
      </c>
      <c r="Q35" s="8">
        <f>RANK(Q34,O$34:S$34)</f>
        <v>5</v>
      </c>
      <c r="R35" s="8">
        <f>RANK(R34,O$34:S$34)</f>
        <v>3</v>
      </c>
      <c r="S35" s="8">
        <f>RANK(S34,O$34:S$34)</f>
        <v>1</v>
      </c>
    </row>
    <row r="36" spans="7:19" ht="14.45">
      <c r="G36" s="7" t="s">
        <v>43</v>
      </c>
      <c r="H36" s="7">
        <f>H17/POWER(($H17^2+$I17^2+$J17^2+$K17^2+$L17^2), 0.5)</f>
        <v>0.41015155621479793</v>
      </c>
      <c r="I36" s="7">
        <f>I17/POWER(($H17^2+$I17^2+$J17^2+$K17^2+$L17^2), 0.5)</f>
        <v>0.41015155621479793</v>
      </c>
      <c r="J36" s="7">
        <f>J17/POWER(($H17^2+$I17^2+$J17^2+$K17^2+$L17^2), 0.5)</f>
        <v>0.34179296351233163</v>
      </c>
      <c r="K36" s="7">
        <f>K17/POWER(($H17^2+$I17^2+$J17^2+$K17^2+$L17^2), 0.5)</f>
        <v>0.41015155621479793</v>
      </c>
      <c r="L36" s="7">
        <f>L17/POWER(($H17^2+$I17^2+$J17^2+$K17^2+$L17^2), 0.5)</f>
        <v>0.61522733432219689</v>
      </c>
    </row>
    <row r="37" spans="7:19" ht="14.45">
      <c r="G37" s="7" t="s">
        <v>45</v>
      </c>
      <c r="H37" s="7">
        <f>H18/POWER(($H18^2+$I18^2+$J18^2+$K18^2+$L18^2), 0.5)</f>
        <v>0.3511234415883917</v>
      </c>
      <c r="I37" s="7">
        <f>I18/POWER(($H18^2+$I18^2+$J18^2+$K18^2+$L18^2), 0.5)</f>
        <v>0.46816458878452227</v>
      </c>
      <c r="J37" s="7">
        <f>J18/POWER(($H18^2+$I18^2+$J18^2+$K18^2+$L18^2), 0.5)</f>
        <v>0.46816458878452227</v>
      </c>
      <c r="K37" s="7">
        <f>K18/POWER(($H18^2+$I18^2+$J18^2+$K18^2+$L18^2), 0.5)</f>
        <v>0.46816458878452227</v>
      </c>
      <c r="L37" s="7">
        <f>L18/POWER(($H18^2+$I18^2+$J18^2+$K18^2+$L18^2), 0.5)</f>
        <v>0.46816458878452227</v>
      </c>
    </row>
    <row r="38" spans="7:19" ht="14.45">
      <c r="G38" s="7" t="s">
        <v>47</v>
      </c>
      <c r="H38" s="7">
        <f>H19/POWER(($H19^2+$I19^2+$J19^2+$K19^2+$L19^2), 0.5)</f>
        <v>0.50390325986026885</v>
      </c>
      <c r="I38" s="7">
        <f>I19/POWER(($H19^2+$I19^2+$J19^2+$K19^2+$L19^2), 0.5)</f>
        <v>0.39192475766909796</v>
      </c>
      <c r="J38" s="7">
        <f>J19/POWER(($H19^2+$I19^2+$J19^2+$K19^2+$L19^2), 0.5)</f>
        <v>0.55989251095585424</v>
      </c>
      <c r="K38" s="7">
        <f>K19/POWER(($H19^2+$I19^2+$J19^2+$K19^2+$L19^2), 0.5)</f>
        <v>0.27994625547792712</v>
      </c>
      <c r="L38" s="7">
        <f>L19/POWER(($H19^2+$I19^2+$J19^2+$K19^2+$L19^2), 0.5)</f>
        <v>0.4479140087646834</v>
      </c>
    </row>
    <row r="42" spans="7:19" ht="14.45">
      <c r="G42" s="1" t="s">
        <v>1</v>
      </c>
    </row>
    <row r="43" spans="7:19" ht="14.45">
      <c r="G43" s="34"/>
      <c r="H43" s="7" t="s">
        <v>6</v>
      </c>
      <c r="I43" s="7" t="s">
        <v>7</v>
      </c>
      <c r="J43" s="7" t="s">
        <v>8</v>
      </c>
      <c r="K43" s="7" t="s">
        <v>9</v>
      </c>
      <c r="L43" s="7" t="s">
        <v>10</v>
      </c>
    </row>
    <row r="44" spans="7:19" ht="14.45">
      <c r="G44" s="7" t="s">
        <v>16</v>
      </c>
      <c r="H44" s="7">
        <f>H25*$D6</f>
        <v>0</v>
      </c>
      <c r="I44" s="7">
        <f t="shared" ref="I44:L44" si="2">I25*$D6</f>
        <v>2.4053511772118195E-2</v>
      </c>
      <c r="J44" s="7">
        <f t="shared" si="2"/>
        <v>1.6035674514745465E-2</v>
      </c>
      <c r="K44" s="7">
        <f t="shared" si="2"/>
        <v>0</v>
      </c>
      <c r="L44" s="7">
        <f t="shared" si="2"/>
        <v>8.0178372573727324E-3</v>
      </c>
    </row>
    <row r="45" spans="7:19" ht="14.45">
      <c r="G45" s="7" t="s">
        <v>18</v>
      </c>
      <c r="H45" s="7">
        <f t="shared" ref="H45:L57" si="3">H26*$D7</f>
        <v>2.3094010767585035E-2</v>
      </c>
      <c r="I45" s="7">
        <f t="shared" si="3"/>
        <v>0</v>
      </c>
      <c r="J45" s="7">
        <f t="shared" si="3"/>
        <v>2.3094010767585035E-2</v>
      </c>
      <c r="K45" s="7">
        <f t="shared" si="3"/>
        <v>2.3094010767585035E-2</v>
      </c>
      <c r="L45" s="7">
        <f t="shared" si="3"/>
        <v>0</v>
      </c>
    </row>
    <row r="46" spans="7:19" ht="14.45">
      <c r="G46" s="7" t="s">
        <v>22</v>
      </c>
      <c r="H46" s="7">
        <f>H27*$D8</f>
        <v>6.1446602277968547E-2</v>
      </c>
      <c r="I46" s="7">
        <f t="shared" si="3"/>
        <v>6.1446602277968547E-2</v>
      </c>
      <c r="J46" s="7">
        <f t="shared" si="3"/>
        <v>6.1446602277968547E-2</v>
      </c>
      <c r="K46" s="7">
        <f t="shared" si="3"/>
        <v>7.9002774357388131E-2</v>
      </c>
      <c r="L46" s="7">
        <f t="shared" si="3"/>
        <v>7.0224688317678335E-2</v>
      </c>
    </row>
    <row r="47" spans="7:19" ht="14.45">
      <c r="G47" s="7" t="s">
        <v>24</v>
      </c>
      <c r="H47" s="7">
        <f t="shared" si="3"/>
        <v>5.0093851313249414E-2</v>
      </c>
      <c r="I47" s="7">
        <f>I28*$D9</f>
        <v>7.1562644733213443E-2</v>
      </c>
      <c r="J47" s="7">
        <f t="shared" si="3"/>
        <v>6.4406380259892107E-2</v>
      </c>
      <c r="K47" s="7">
        <f t="shared" si="3"/>
        <v>4.2937586839928064E-2</v>
      </c>
      <c r="L47" s="7">
        <f t="shared" si="3"/>
        <v>5.7250115786570757E-2</v>
      </c>
    </row>
    <row r="48" spans="7:19" ht="14.45">
      <c r="G48" s="7" t="s">
        <v>26</v>
      </c>
      <c r="H48" s="7">
        <f t="shared" si="3"/>
        <v>5.6354707153641603E-2</v>
      </c>
      <c r="I48" s="7">
        <f t="shared" si="3"/>
        <v>5.6354707153641603E-2</v>
      </c>
      <c r="J48" s="7">
        <f t="shared" si="3"/>
        <v>3.3812824292184962E-2</v>
      </c>
      <c r="K48" s="7">
        <f t="shared" si="3"/>
        <v>4.5083765722913276E-2</v>
      </c>
      <c r="L48" s="7">
        <f t="shared" si="3"/>
        <v>5.0719236438277436E-2</v>
      </c>
    </row>
    <row r="49" spans="7:12" ht="14.45">
      <c r="G49" s="7" t="s">
        <v>29</v>
      </c>
      <c r="H49" s="7">
        <f t="shared" si="3"/>
        <v>2.5724787771376323E-2</v>
      </c>
      <c r="I49" s="7">
        <f t="shared" si="3"/>
        <v>4.1159660434202119E-2</v>
      </c>
      <c r="J49" s="7">
        <f t="shared" si="3"/>
        <v>3.0869745325651586E-2</v>
      </c>
      <c r="K49" s="7">
        <f t="shared" si="3"/>
        <v>5.1449575542752646E-2</v>
      </c>
      <c r="L49" s="7">
        <f t="shared" si="3"/>
        <v>4.6304617988477383E-2</v>
      </c>
    </row>
    <row r="50" spans="7:12" ht="14.45">
      <c r="G50" s="7" t="s">
        <v>31</v>
      </c>
      <c r="H50" s="7">
        <f t="shared" si="3"/>
        <v>4.3955380463580482E-2</v>
      </c>
      <c r="I50" s="7">
        <f t="shared" si="3"/>
        <v>2.7472112789737803E-2</v>
      </c>
      <c r="J50" s="7">
        <f t="shared" si="3"/>
        <v>2.7472112789737803E-2</v>
      </c>
      <c r="K50" s="7">
        <f t="shared" si="3"/>
        <v>3.8460957905632927E-2</v>
      </c>
      <c r="L50" s="7">
        <f t="shared" si="3"/>
        <v>3.8460957905632927E-2</v>
      </c>
    </row>
    <row r="51" spans="7:12" ht="14.45">
      <c r="G51" s="7" t="s">
        <v>34</v>
      </c>
      <c r="H51" s="7">
        <f t="shared" si="3"/>
        <v>1.257941804066302E-2</v>
      </c>
      <c r="I51" s="7">
        <f t="shared" si="3"/>
        <v>1.6772557387550693E-2</v>
      </c>
      <c r="J51" s="7">
        <f t="shared" si="3"/>
        <v>1.6772557387550693E-2</v>
      </c>
      <c r="K51" s="7">
        <f t="shared" si="3"/>
        <v>2.0965696734438363E-2</v>
      </c>
      <c r="L51" s="7">
        <f t="shared" si="3"/>
        <v>2.0965696734438363E-2</v>
      </c>
    </row>
    <row r="52" spans="7:12" ht="14.45">
      <c r="G52" s="7" t="s">
        <v>36</v>
      </c>
      <c r="H52" s="7">
        <f t="shared" si="3"/>
        <v>2.3017413505937442E-2</v>
      </c>
      <c r="I52" s="7">
        <f t="shared" si="3"/>
        <v>1.6112189454156208E-2</v>
      </c>
      <c r="J52" s="7">
        <f t="shared" si="3"/>
        <v>1.8413930804749953E-2</v>
      </c>
      <c r="K52" s="7">
        <f t="shared" si="3"/>
        <v>1.8413930804749953E-2</v>
      </c>
      <c r="L52" s="7">
        <f t="shared" si="3"/>
        <v>1.1508706752968721E-2</v>
      </c>
    </row>
    <row r="53" spans="7:12" ht="14.45">
      <c r="G53" s="7" t="s">
        <v>38</v>
      </c>
      <c r="H53" s="7">
        <f t="shared" si="3"/>
        <v>2.0732210721568233E-2</v>
      </c>
      <c r="I53" s="7">
        <f t="shared" si="3"/>
        <v>2.6655699499159153E-2</v>
      </c>
      <c r="J53" s="7">
        <f t="shared" si="3"/>
        <v>2.0732210721568233E-2</v>
      </c>
      <c r="K53" s="7">
        <f t="shared" si="3"/>
        <v>2.6655699499159153E-2</v>
      </c>
      <c r="L53" s="7">
        <f t="shared" si="3"/>
        <v>1.4808721943977308E-2</v>
      </c>
    </row>
    <row r="54" spans="7:12" ht="14.45">
      <c r="G54" s="7" t="s">
        <v>41</v>
      </c>
      <c r="H54" s="7">
        <f t="shared" si="3"/>
        <v>2.1176470588235293E-2</v>
      </c>
      <c r="I54" s="7">
        <f t="shared" si="3"/>
        <v>2.8235294117647056E-2</v>
      </c>
      <c r="J54" s="7">
        <f t="shared" si="3"/>
        <v>1.7647058823529412E-2</v>
      </c>
      <c r="K54" s="7">
        <f t="shared" si="3"/>
        <v>2.8235294117647056E-2</v>
      </c>
      <c r="L54" s="7">
        <f t="shared" si="3"/>
        <v>3.5294117647058823E-2</v>
      </c>
    </row>
    <row r="55" spans="7:12" ht="14.45">
      <c r="G55" s="7" t="s">
        <v>43</v>
      </c>
      <c r="H55" s="7">
        <f t="shared" si="3"/>
        <v>2.4609093372887875E-2</v>
      </c>
      <c r="I55" s="7">
        <f t="shared" si="3"/>
        <v>2.4609093372887875E-2</v>
      </c>
      <c r="J55" s="7">
        <f t="shared" si="3"/>
        <v>2.0507577810739898E-2</v>
      </c>
      <c r="K55" s="7">
        <f t="shared" si="3"/>
        <v>2.4609093372887875E-2</v>
      </c>
      <c r="L55" s="7">
        <f t="shared" si="3"/>
        <v>3.6913640059331815E-2</v>
      </c>
    </row>
    <row r="56" spans="7:12" ht="14.45">
      <c r="G56" s="7" t="s">
        <v>45</v>
      </c>
      <c r="H56" s="7">
        <f t="shared" si="3"/>
        <v>2.4578640911187423E-2</v>
      </c>
      <c r="I56" s="7">
        <f t="shared" si="3"/>
        <v>3.2771521214916562E-2</v>
      </c>
      <c r="J56" s="7">
        <f t="shared" si="3"/>
        <v>3.2771521214916562E-2</v>
      </c>
      <c r="K56" s="7">
        <f t="shared" si="3"/>
        <v>3.2771521214916562E-2</v>
      </c>
      <c r="L56" s="7">
        <f t="shared" si="3"/>
        <v>3.2771521214916562E-2</v>
      </c>
    </row>
    <row r="57" spans="7:12" ht="14.45">
      <c r="G57" s="7" t="s">
        <v>47</v>
      </c>
      <c r="H57" s="7">
        <f t="shared" si="3"/>
        <v>2.5195162993013442E-2</v>
      </c>
      <c r="I57" s="7">
        <f t="shared" si="3"/>
        <v>1.9596237883454899E-2</v>
      </c>
      <c r="J57" s="7">
        <f t="shared" si="3"/>
        <v>2.7994625547792713E-2</v>
      </c>
      <c r="K57" s="7">
        <f t="shared" si="3"/>
        <v>1.3997312773896356E-2</v>
      </c>
      <c r="L57" s="7">
        <f t="shared" si="3"/>
        <v>2.2395700438234172E-2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6DCC-4FA6-41FF-85E6-5A11B175A620}">
  <dimension ref="B3:U12"/>
  <sheetViews>
    <sheetView tabSelected="1" workbookViewId="0">
      <selection activeCell="G6" sqref="G6"/>
    </sheetView>
  </sheetViews>
  <sheetFormatPr defaultRowHeight="15"/>
  <cols>
    <col min="2" max="2" width="16.5703125" customWidth="1"/>
    <col min="3" max="3" width="15.28515625" customWidth="1"/>
    <col min="11" max="11" width="16.28515625" customWidth="1"/>
    <col min="12" max="12" width="17.42578125" customWidth="1"/>
  </cols>
  <sheetData>
    <row r="3" spans="2:21">
      <c r="B3" s="44" t="s">
        <v>58</v>
      </c>
      <c r="C3" s="45"/>
      <c r="E3" s="1" t="s">
        <v>59</v>
      </c>
    </row>
    <row r="4" spans="2:21">
      <c r="B4" s="46" t="s">
        <v>60</v>
      </c>
      <c r="C4" s="46" t="s">
        <v>61</v>
      </c>
      <c r="E4" s="47" t="s">
        <v>62</v>
      </c>
      <c r="F4" s="52" t="s">
        <v>60</v>
      </c>
      <c r="G4" s="53" t="s">
        <v>63</v>
      </c>
      <c r="H4" s="53" t="s">
        <v>63</v>
      </c>
      <c r="I4" s="55"/>
      <c r="J4" s="55"/>
      <c r="K4" s="56" t="s">
        <v>64</v>
      </c>
      <c r="L4" s="64" t="s">
        <v>65</v>
      </c>
      <c r="O4" s="44"/>
      <c r="P4" s="44"/>
      <c r="Q4" s="44"/>
      <c r="R4" s="44"/>
      <c r="S4" s="44"/>
      <c r="T4" s="44"/>
      <c r="U4" s="51"/>
    </row>
    <row r="5" spans="2:21">
      <c r="B5" s="46">
        <v>1</v>
      </c>
      <c r="C5" s="46">
        <v>5</v>
      </c>
      <c r="E5" s="48" t="s">
        <v>63</v>
      </c>
      <c r="F5" s="54">
        <v>1</v>
      </c>
      <c r="G5" s="50">
        <v>2</v>
      </c>
      <c r="H5" s="49">
        <v>3</v>
      </c>
      <c r="I5" s="57">
        <v>4</v>
      </c>
      <c r="J5" s="58">
        <v>5</v>
      </c>
      <c r="K5" s="59"/>
      <c r="L5" s="61"/>
      <c r="O5" s="49"/>
      <c r="P5" s="49"/>
      <c r="Q5" s="49"/>
      <c r="R5" s="49"/>
      <c r="S5" s="49"/>
      <c r="T5" s="49"/>
      <c r="U5" s="51"/>
    </row>
    <row r="6" spans="2:21">
      <c r="B6" s="46">
        <v>2</v>
      </c>
      <c r="C6" s="46">
        <v>4</v>
      </c>
      <c r="E6" s="46" t="s">
        <v>6</v>
      </c>
      <c r="F6" s="46">
        <f>'DM1'!O34</f>
        <v>0.5084490490972875</v>
      </c>
      <c r="G6" s="46">
        <f>'DM2'!O34 + 'DM3'!O34</f>
        <v>1.0134752077905651</v>
      </c>
      <c r="H6" s="46">
        <v>0</v>
      </c>
      <c r="I6" s="46">
        <v>0</v>
      </c>
      <c r="J6" s="46">
        <v>0</v>
      </c>
      <c r="K6" s="46">
        <f>F6*C5+G6*C6</f>
        <v>6.5961460766486981</v>
      </c>
      <c r="L6" s="61">
        <f>K6/K$11</f>
        <v>0.30281535817253952</v>
      </c>
      <c r="M6">
        <f>RANK(L6,L$6:L$10)</f>
        <v>1</v>
      </c>
      <c r="O6" s="49"/>
      <c r="P6" s="49"/>
      <c r="Q6" s="49"/>
      <c r="R6" s="49"/>
      <c r="S6" s="49"/>
      <c r="T6" s="49"/>
      <c r="U6" s="51"/>
    </row>
    <row r="7" spans="2:21">
      <c r="B7" s="46">
        <v>3</v>
      </c>
      <c r="C7" s="46">
        <v>3</v>
      </c>
      <c r="E7" s="46" t="s">
        <v>7</v>
      </c>
      <c r="F7" s="46"/>
      <c r="G7" s="46"/>
      <c r="H7" s="46"/>
      <c r="I7" s="46">
        <f>'DM2'!P34 + 'DM3'!P34</f>
        <v>1.0081199365353939</v>
      </c>
      <c r="J7" s="46">
        <f>'DM1'!P34</f>
        <v>0.50326274076177224</v>
      </c>
      <c r="K7" s="46">
        <f>I7*C8+J7*C9</f>
        <v>2.51950261383256</v>
      </c>
      <c r="L7" s="8">
        <f>K7/K$11</f>
        <v>0.11566512893419501</v>
      </c>
      <c r="M7">
        <f>RANK(L7,L$6:L$10)</f>
        <v>5</v>
      </c>
      <c r="O7" s="49"/>
      <c r="P7" s="49"/>
      <c r="Q7" s="49"/>
      <c r="R7" s="49"/>
      <c r="S7" s="49"/>
      <c r="T7" s="49"/>
      <c r="U7" s="51"/>
    </row>
    <row r="8" spans="2:21">
      <c r="B8" s="8">
        <v>4</v>
      </c>
      <c r="C8" s="8">
        <v>2</v>
      </c>
      <c r="E8" s="46" t="s">
        <v>8</v>
      </c>
      <c r="F8" s="46"/>
      <c r="G8" s="46"/>
      <c r="H8" s="46">
        <f>'DM1'!Q34 + 'DM2'!Q34</f>
        <v>1.0104533233394815</v>
      </c>
      <c r="I8" s="46"/>
      <c r="J8" s="46">
        <f>'DM3'!Q34</f>
        <v>0.50492939677034054</v>
      </c>
      <c r="K8" s="46">
        <f>H8*C7+J8*C9</f>
        <v>3.5362893667887851</v>
      </c>
      <c r="L8" s="8">
        <f>K8/K$11</f>
        <v>0.16234369566144474</v>
      </c>
      <c r="M8">
        <f>RANK(L8,L$6:L$10)</f>
        <v>3</v>
      </c>
      <c r="O8" s="49"/>
      <c r="P8" s="49"/>
      <c r="Q8" s="49"/>
      <c r="R8" s="49"/>
      <c r="S8" s="49"/>
      <c r="T8" s="49"/>
      <c r="U8" s="51"/>
    </row>
    <row r="9" spans="2:21">
      <c r="B9" s="8">
        <v>5</v>
      </c>
      <c r="C9" s="8">
        <v>1</v>
      </c>
      <c r="E9" s="46" t="s">
        <v>9</v>
      </c>
      <c r="F9" s="46">
        <f>'DM2'!R34</f>
        <v>0.50671097390157682</v>
      </c>
      <c r="G9" s="46">
        <f>'DM1'!R34</f>
        <v>0.50774687469662005</v>
      </c>
      <c r="H9" s="46">
        <f>'DM3'!R34</f>
        <v>0.50680225528420242</v>
      </c>
      <c r="I9" s="46"/>
      <c r="J9" s="46"/>
      <c r="K9" s="46">
        <f>F9*C5+G9*C6+H9*C7</f>
        <v>6.0849491341469717</v>
      </c>
      <c r="L9" s="8">
        <f>K9/K$11</f>
        <v>0.2793473689191821</v>
      </c>
      <c r="M9">
        <f>RANK(L9,L$6:L$10)</f>
        <v>2</v>
      </c>
      <c r="O9" s="49"/>
      <c r="P9" s="49"/>
      <c r="Q9" s="49"/>
      <c r="R9" s="49"/>
      <c r="S9" s="49"/>
      <c r="T9" s="49"/>
      <c r="U9" s="51"/>
    </row>
    <row r="10" spans="2:21">
      <c r="E10" s="8" t="s">
        <v>10</v>
      </c>
      <c r="F10" s="46">
        <f>'DM3'!S34</f>
        <v>0.50837962156243532</v>
      </c>
      <c r="G10" s="46"/>
      <c r="H10" s="46"/>
      <c r="I10" s="46">
        <f>'DM1'!S34</f>
        <v>0.50394763894072625</v>
      </c>
      <c r="J10" s="46">
        <f>'DM2'!S34</f>
        <v>0.50204955252200933</v>
      </c>
      <c r="K10" s="46">
        <f>F10*C5+I10*C9</f>
        <v>3.045845746752903</v>
      </c>
      <c r="L10" s="8">
        <f>K10/K$11</f>
        <v>0.1398284483126386</v>
      </c>
      <c r="M10">
        <f>RANK(L10,L$6:L$10)</f>
        <v>4</v>
      </c>
      <c r="O10" s="49"/>
      <c r="P10" s="49"/>
      <c r="Q10" s="49"/>
      <c r="R10" s="49"/>
      <c r="S10" s="49"/>
      <c r="T10" s="49"/>
      <c r="U10" s="51"/>
    </row>
    <row r="11" spans="2:21">
      <c r="E11" s="8"/>
      <c r="F11" s="8"/>
      <c r="G11" s="8"/>
      <c r="H11" s="8"/>
      <c r="I11" s="8"/>
      <c r="J11" s="8" t="s">
        <v>66</v>
      </c>
      <c r="K11" s="8">
        <f>SUM(K6:K10)</f>
        <v>21.782732938169918</v>
      </c>
      <c r="L11" s="41"/>
      <c r="O11" s="51"/>
      <c r="P11" s="51"/>
      <c r="Q11" s="51"/>
      <c r="R11" s="51"/>
      <c r="S11" s="51"/>
      <c r="T11" s="51"/>
      <c r="U11" s="51"/>
    </row>
    <row r="12" spans="2:21">
      <c r="F12" s="51"/>
      <c r="G12" s="51"/>
      <c r="H12" s="51"/>
      <c r="I12" s="51"/>
      <c r="J12" s="51"/>
      <c r="K12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Nanda Bintang Agustin</dc:creator>
  <cp:keywords/>
  <dc:description/>
  <cp:lastModifiedBy/>
  <cp:revision/>
  <dcterms:created xsi:type="dcterms:W3CDTF">2025-10-20T02:42:30Z</dcterms:created>
  <dcterms:modified xsi:type="dcterms:W3CDTF">2025-12-06T15:41:07Z</dcterms:modified>
  <cp:category/>
  <cp:contentStatus/>
</cp:coreProperties>
</file>